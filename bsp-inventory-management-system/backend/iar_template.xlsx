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Edcel\Desktop\New folder (2)\bsp-inventory-management-system\backend\"/>
    </mc:Choice>
  </mc:AlternateContent>
  <xr:revisionPtr revIDLastSave="0" documentId="13_ncr:1_{572AEA76-EB89-4D0D-B8CA-9B8AE4390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7" r:id="rId1"/>
  </sheets>
  <definedNames>
    <definedName name="_xlnm.Print_Area" localSheetId="0">Template!$A$1:$K$40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7" l="1"/>
  <c r="V28" i="7"/>
  <c r="T28" i="7"/>
  <c r="V32" i="7" s="1"/>
  <c r="W32" i="7" s="1"/>
  <c r="S28" i="7"/>
  <c r="V27" i="7"/>
  <c r="V24" i="7"/>
  <c r="V22" i="7"/>
  <c r="V21" i="7"/>
  <c r="V20" i="7"/>
  <c r="V19" i="7"/>
  <c r="V18" i="7"/>
  <c r="N18" i="7"/>
  <c r="V30" i="7" l="1"/>
  <c r="V35" i="7" s="1"/>
</calcChain>
</file>

<file path=xl/sharedStrings.xml><?xml version="1.0" encoding="utf-8"?>
<sst xmlns="http://schemas.openxmlformats.org/spreadsheetml/2006/main" count="77" uniqueCount="67">
  <si>
    <t>Appendix 62</t>
  </si>
  <si>
    <t>Republic of the Philippines</t>
  </si>
  <si>
    <t>BOY SCOUTS OF THE PHILIPPINES</t>
  </si>
  <si>
    <t>National Office</t>
  </si>
  <si>
    <t>Manila</t>
  </si>
  <si>
    <t>INSPECTION AND ACCEPTANCE REPORT (IAR)</t>
  </si>
  <si>
    <t>Entity Name :</t>
  </si>
  <si>
    <t xml:space="preserve">IAR No. </t>
  </si>
  <si>
    <t>:</t>
  </si>
  <si>
    <t xml:space="preserve">Date </t>
  </si>
  <si>
    <t xml:space="preserve">Responsibility Center Code : </t>
  </si>
  <si>
    <t>Stock/ 
Property No.</t>
  </si>
  <si>
    <t>Description</t>
  </si>
  <si>
    <t>Unit</t>
  </si>
  <si>
    <t>Quantity</t>
  </si>
  <si>
    <t>x   x   x   x   x   x   x   x   x   x   x   x   x   x   x   x   x   x   x   x   x   x</t>
  </si>
  <si>
    <t>INSPECTION</t>
  </si>
  <si>
    <t>ACCEPTANCE</t>
  </si>
  <si>
    <t>Date Inspected : ________________________</t>
  </si>
  <si>
    <t>Date Received : _____________________</t>
  </si>
  <si>
    <t xml:space="preserve">           Inspected, verified and found in order as </t>
  </si>
  <si>
    <t xml:space="preserve">           Complete </t>
  </si>
  <si>
    <t xml:space="preserve">           to quantity and specifications</t>
  </si>
  <si>
    <t xml:space="preserve">            Partial (pls. specify quantity)</t>
  </si>
  <si>
    <t>JERRY B. RUBRICO</t>
  </si>
  <si>
    <t>Administrative Officer II (Acting Property Custodian)</t>
  </si>
  <si>
    <t>Boy Scouts of the Philippines</t>
  </si>
  <si>
    <t>set</t>
  </si>
  <si>
    <t>Total Amount</t>
  </si>
  <si>
    <t>Amount</t>
  </si>
  <si>
    <t>Delivery Date</t>
  </si>
  <si>
    <r>
      <rPr>
        <u/>
        <sz val="10"/>
        <rFont val="Arial"/>
        <family val="2"/>
      </rPr>
      <t>Invoice</t>
    </r>
    <r>
      <rPr>
        <sz val="10"/>
        <rFont val="Arial"/>
        <family val="2"/>
      </rPr>
      <t>/CR  DR No.</t>
    </r>
  </si>
  <si>
    <t>RCO</t>
  </si>
  <si>
    <t>Accountable Officer</t>
  </si>
  <si>
    <t>pcs.</t>
  </si>
  <si>
    <r>
      <t xml:space="preserve">Fund Cluster : </t>
    </r>
    <r>
      <rPr>
        <b/>
        <u/>
        <sz val="11"/>
        <rFont val="Arial"/>
        <family val="2"/>
      </rPr>
      <t>10605160</t>
    </r>
  </si>
  <si>
    <t>09 March 2025</t>
  </si>
  <si>
    <t>2026-05-160-8037-01</t>
  </si>
  <si>
    <r>
      <t>Microwave Oven,</t>
    </r>
    <r>
      <rPr>
        <sz val="11"/>
        <rFont val="Segoe UI Semilight"/>
        <family val="2"/>
      </rPr>
      <t xml:space="preserve"> Hanabishi Brand, Model Number: </t>
    </r>
    <r>
      <rPr>
        <b/>
        <i/>
        <sz val="11"/>
        <rFont val="Segoe UI Semilight"/>
        <family val="2"/>
      </rPr>
      <t>HMO-20MHW,</t>
    </r>
    <r>
      <rPr>
        <sz val="11"/>
        <rFont val="Segoe UI Semilight"/>
        <family val="2"/>
      </rPr>
      <t xml:space="preserve"> Serial Number: </t>
    </r>
    <r>
      <rPr>
        <b/>
        <i/>
        <sz val="11"/>
        <rFont val="Segoe UI Semilight"/>
        <family val="2"/>
      </rPr>
      <t>2409HM2011801</t>
    </r>
    <r>
      <rPr>
        <sz val="11"/>
        <rFont val="Segoe UI Semilight"/>
        <family val="2"/>
      </rPr>
      <t xml:space="preserve"> </t>
    </r>
  </si>
  <si>
    <t>unit</t>
  </si>
  <si>
    <r>
      <t xml:space="preserve">Kyowa Electrict Kettle, </t>
    </r>
    <r>
      <rPr>
        <sz val="11"/>
        <rFont val="Segoe UI Semilight"/>
        <family val="2"/>
      </rPr>
      <t xml:space="preserve">Model Number:  </t>
    </r>
    <r>
      <rPr>
        <b/>
        <i/>
        <sz val="11"/>
        <rFont val="Segoe UI Semilight"/>
        <family val="2"/>
      </rPr>
      <t>KW-1331</t>
    </r>
    <r>
      <rPr>
        <sz val="11"/>
        <rFont val="Segoe UI Semilight"/>
        <family val="2"/>
      </rPr>
      <t xml:space="preserve">, Serial Number:  </t>
    </r>
    <r>
      <rPr>
        <b/>
        <i/>
        <sz val="11"/>
        <rFont val="Segoe UI Semilight"/>
        <family val="2"/>
      </rPr>
      <t>F25000793</t>
    </r>
  </si>
  <si>
    <t>2026-05-160-8032-01</t>
  </si>
  <si>
    <r>
      <t xml:space="preserve">Serving Tray, </t>
    </r>
    <r>
      <rPr>
        <sz val="11"/>
        <rFont val="Segoe UI Semilight"/>
        <family val="2"/>
      </rPr>
      <t>Klio Brand, Brown Rectangular Serving Tray 14x12 Inches</t>
    </r>
  </si>
  <si>
    <r>
      <t xml:space="preserve">Cups and Saucers, </t>
    </r>
    <r>
      <rPr>
        <sz val="11"/>
        <rFont val="Segoe UI Semilight"/>
        <family val="2"/>
      </rPr>
      <t>mega Elara, Opal Square</t>
    </r>
  </si>
  <si>
    <r>
      <t>Royal Dine</t>
    </r>
    <r>
      <rPr>
        <sz val="11"/>
        <rFont val="Segoe UI Semilight"/>
        <family val="2"/>
      </rPr>
      <t xml:space="preserve"> 6pcs. Ivory Opal Dining Plates</t>
    </r>
  </si>
  <si>
    <t>discount</t>
  </si>
  <si>
    <t>SRP</t>
  </si>
  <si>
    <r>
      <t xml:space="preserve">Dish Drainer, </t>
    </r>
    <r>
      <rPr>
        <sz val="11"/>
        <rFont val="Segoe UI Semilight"/>
        <family val="2"/>
      </rPr>
      <t>Masflex T60</t>
    </r>
  </si>
  <si>
    <t>pc.</t>
  </si>
  <si>
    <t>Metro Chief Knife</t>
  </si>
  <si>
    <r>
      <t xml:space="preserve">Drinking Glass, </t>
    </r>
    <r>
      <rPr>
        <sz val="11"/>
        <rFont val="Segoe UI Semilight"/>
        <family val="2"/>
      </rPr>
      <t>Ocean Centra Hi ball glass</t>
    </r>
  </si>
  <si>
    <t>ARVINA S. VINUYA</t>
  </si>
  <si>
    <t>Administrative Officer III</t>
  </si>
  <si>
    <t>Office of the Secretary General</t>
  </si>
  <si>
    <r>
      <t xml:space="preserve">Royal Dine </t>
    </r>
    <r>
      <rPr>
        <sz val="11"/>
        <rFont val="Segoe UI Semilight"/>
        <family val="2"/>
      </rPr>
      <t>5pcs. Pearl Opal white Salad Bowl.</t>
    </r>
  </si>
  <si>
    <t>2026-05-160-8060-01</t>
  </si>
  <si>
    <t>2026-05-160-8067-01</t>
  </si>
  <si>
    <t>2026-05-160-8004-01</t>
  </si>
  <si>
    <t>2026-05-160-8050-01</t>
  </si>
  <si>
    <t>2026-05-160-8020-01</t>
  </si>
  <si>
    <t>2026-04-130-1407-01</t>
  </si>
  <si>
    <t>01799 / 02582</t>
  </si>
  <si>
    <t>10 February 2026</t>
  </si>
  <si>
    <r>
      <t xml:space="preserve">Requisitioning Office/Dept. : </t>
    </r>
    <r>
      <rPr>
        <b/>
        <u/>
        <sz val="12"/>
        <rFont val="Arial"/>
        <family val="2"/>
      </rPr>
      <t>Field Operations Division</t>
    </r>
  </si>
  <si>
    <r>
      <t>Supplier :</t>
    </r>
    <r>
      <rPr>
        <b/>
        <u/>
        <sz val="12"/>
        <rFont val="Arial"/>
        <family val="2"/>
      </rPr>
      <t xml:space="preserve"> KNIGHTS OF THE QUEEN ENTERPRISE OPC </t>
    </r>
  </si>
  <si>
    <r>
      <t>Purchase Order/</t>
    </r>
    <r>
      <rPr>
        <u/>
        <sz val="12"/>
        <rFont val="Arial"/>
        <family val="2"/>
      </rPr>
      <t>P.R. No</t>
    </r>
    <r>
      <rPr>
        <sz val="12"/>
        <rFont val="Arial"/>
        <family val="2"/>
      </rPr>
      <t xml:space="preserve">. : </t>
    </r>
    <r>
      <rPr>
        <b/>
        <u/>
        <sz val="12"/>
        <rFont val="Arial"/>
        <family val="2"/>
      </rPr>
      <t xml:space="preserve">2026-04-021 </t>
    </r>
    <r>
      <rPr>
        <sz val="12"/>
        <rFont val="Arial"/>
        <family val="2"/>
      </rPr>
      <t xml:space="preserve">      Date:</t>
    </r>
    <r>
      <rPr>
        <b/>
        <u/>
        <sz val="12"/>
        <rFont val="Arial"/>
        <family val="2"/>
      </rPr>
      <t>27 April 2026</t>
    </r>
    <r>
      <rPr>
        <sz val="12"/>
        <rFont val="Arial"/>
        <family val="2"/>
      </rPr>
      <t xml:space="preserve"> </t>
    </r>
  </si>
  <si>
    <t>2026-05-002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</si>
</sst>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[$-3409]dd\-mmm\-yy;@"/>
  </numFmts>
  <fonts count="28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Segoe UI Emoji"/>
      <family val="2"/>
    </font>
    <font>
      <b/>
      <sz val="14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color rgb="FFFF0000"/>
      <name val="Arial"/>
      <family val="2"/>
    </font>
    <font>
      <sz val="10"/>
      <color rgb="FFFF0000"/>
      <name val="Arial"/>
      <family val="2"/>
    </font>
    <font>
      <b/>
      <i/>
      <sz val="12"/>
      <name val="Arial"/>
      <family val="2"/>
    </font>
    <font>
      <i/>
      <sz val="9"/>
      <name val="Arial"/>
      <family val="2"/>
    </font>
    <font>
      <u/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i/>
      <sz val="11"/>
      <name val="Arial"/>
      <family val="2"/>
    </font>
    <font>
      <sz val="11"/>
      <name val="Segoe UI Semilight"/>
      <family val="2"/>
    </font>
    <font>
      <b/>
      <sz val="11"/>
      <name val="Segoe UI Semilight"/>
      <family val="2"/>
    </font>
    <font>
      <sz val="12"/>
      <name val="Segoe UI Semilight"/>
      <family val="2"/>
    </font>
    <font>
      <sz val="10"/>
      <name val="Segoe UI Semilight"/>
      <family val="2"/>
    </font>
    <font>
      <b/>
      <sz val="10"/>
      <name val="Arial"/>
      <family val="2"/>
    </font>
    <font>
      <b/>
      <sz val="10"/>
      <name val="Segoe UI Emoji"/>
      <family val="2"/>
    </font>
    <font>
      <b/>
      <sz val="20"/>
      <name val="Arial"/>
      <family val="2"/>
    </font>
    <font>
      <b/>
      <i/>
      <sz val="11"/>
      <name val="Segoe UI Semi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3" fillId="0" borderId="5" xfId="0" applyFont="1" applyBorder="1"/>
    <xf numFmtId="0" fontId="3" fillId="0" borderId="6" xfId="0" applyFont="1" applyBorder="1"/>
    <xf numFmtId="0" fontId="13" fillId="0" borderId="0" xfId="0" applyFont="1"/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3" fillId="0" borderId="3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5" xfId="0" applyFont="1" applyBorder="1" applyAlignment="1">
      <alignment horizontal="left" vertical="center" wrapText="1" indent="4"/>
    </xf>
    <xf numFmtId="0" fontId="3" fillId="0" borderId="0" xfId="0" applyFont="1" applyAlignment="1">
      <alignment horizontal="left" vertical="center" wrapText="1" indent="4"/>
    </xf>
    <xf numFmtId="0" fontId="3" fillId="0" borderId="36" xfId="0" applyFont="1" applyBorder="1" applyAlignment="1">
      <alignment horizontal="left" vertical="center" wrapText="1" indent="4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0" fontId="15" fillId="0" borderId="0" xfId="0" applyFont="1"/>
    <xf numFmtId="0" fontId="4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0" xfId="0" applyFont="1" applyBorder="1"/>
    <xf numFmtId="0" fontId="3" fillId="0" borderId="11" xfId="0" applyFont="1" applyBorder="1"/>
    <xf numFmtId="165" fontId="24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24" fillId="0" borderId="0" xfId="1" applyNumberFormat="1" applyFont="1" applyAlignment="1">
      <alignment horizontal="center" vertical="center"/>
    </xf>
    <xf numFmtId="164" fontId="26" fillId="0" borderId="0" xfId="1" applyNumberFormat="1" applyFont="1" applyAlignment="1">
      <alignment horizontal="center" vertical="center"/>
    </xf>
    <xf numFmtId="44" fontId="1" fillId="0" borderId="0" xfId="2" applyFont="1" applyAlignment="1">
      <alignment horizontal="center" vertical="center"/>
    </xf>
    <xf numFmtId="44" fontId="6" fillId="0" borderId="1" xfId="2" applyFont="1" applyBorder="1" applyAlignment="1">
      <alignment horizontal="center" vertical="center" wrapText="1"/>
    </xf>
    <xf numFmtId="44" fontId="25" fillId="0" borderId="1" xfId="2" applyFont="1" applyBorder="1" applyAlignment="1">
      <alignment horizontal="center" vertical="center" wrapText="1"/>
    </xf>
    <xf numFmtId="44" fontId="11" fillId="0" borderId="0" xfId="2" applyFont="1" applyAlignment="1">
      <alignment horizontal="center" vertical="center"/>
    </xf>
    <xf numFmtId="44" fontId="4" fillId="0" borderId="0" xfId="2" applyFont="1" applyAlignment="1">
      <alignment vertical="center"/>
    </xf>
    <xf numFmtId="44" fontId="6" fillId="0" borderId="0" xfId="2" applyFont="1" applyBorder="1" applyAlignment="1">
      <alignment horizontal="center" vertical="center" wrapText="1"/>
    </xf>
    <xf numFmtId="44" fontId="25" fillId="0" borderId="0" xfId="2" applyFont="1" applyBorder="1" applyAlignment="1">
      <alignment horizontal="center" vertical="center" wrapText="1"/>
    </xf>
    <xf numFmtId="0" fontId="23" fillId="0" borderId="43" xfId="0" applyFont="1" applyBorder="1" applyAlignment="1">
      <alignment vertical="center" wrapText="1"/>
    </xf>
    <xf numFmtId="164" fontId="4" fillId="0" borderId="0" xfId="1" applyNumberFormat="1" applyFont="1" applyAlignment="1">
      <alignment horizontal="center" vertical="center"/>
    </xf>
    <xf numFmtId="44" fontId="4" fillId="0" borderId="0" xfId="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3" fillId="0" borderId="35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6" xfId="0" applyFont="1" applyBorder="1" applyAlignment="1">
      <alignment horizontal="center" vertical="top"/>
    </xf>
    <xf numFmtId="0" fontId="22" fillId="0" borderId="4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2" borderId="41" xfId="0" applyFont="1" applyFill="1" applyBorder="1" applyAlignment="1">
      <alignment vertical="center" wrapText="1"/>
    </xf>
    <xf numFmtId="0" fontId="23" fillId="2" borderId="22" xfId="0" applyFont="1" applyFill="1" applyBorder="1" applyAlignment="1">
      <alignment vertical="center" wrapText="1"/>
    </xf>
    <xf numFmtId="0" fontId="22" fillId="0" borderId="38" xfId="0" applyFont="1" applyBorder="1" applyAlignment="1">
      <alignment horizontal="center" vertical="center"/>
    </xf>
    <xf numFmtId="43" fontId="1" fillId="0" borderId="0" xfId="1" applyFont="1"/>
    <xf numFmtId="43" fontId="4" fillId="0" borderId="0" xfId="1" applyFont="1"/>
    <xf numFmtId="43" fontId="11" fillId="0" borderId="0" xfId="1" applyFont="1"/>
    <xf numFmtId="43" fontId="4" fillId="0" borderId="0" xfId="1" applyFont="1" applyAlignment="1"/>
    <xf numFmtId="43" fontId="4" fillId="0" borderId="0" xfId="0" applyNumberFormat="1" applyFont="1"/>
    <xf numFmtId="43" fontId="4" fillId="3" borderId="0" xfId="1" applyFont="1" applyFill="1"/>
    <xf numFmtId="43" fontId="4" fillId="4" borderId="0" xfId="1" applyFont="1" applyFill="1"/>
    <xf numFmtId="43" fontId="4" fillId="4" borderId="0" xfId="1" applyFont="1" applyFill="1" applyAlignment="1"/>
    <xf numFmtId="43" fontId="4" fillId="5" borderId="0" xfId="1" applyFont="1" applyFill="1"/>
    <xf numFmtId="43" fontId="4" fillId="6" borderId="0" xfId="1" applyFont="1" applyFill="1"/>
    <xf numFmtId="165" fontId="4" fillId="2" borderId="0" xfId="0" applyNumberFormat="1" applyFont="1" applyFill="1" applyAlignment="1">
      <alignment horizontal="center" vertical="center"/>
    </xf>
    <xf numFmtId="164" fontId="4" fillId="7" borderId="0" xfId="1" applyNumberFormat="1" applyFont="1" applyFill="1" applyAlignment="1">
      <alignment vertical="center"/>
    </xf>
    <xf numFmtId="165" fontId="4" fillId="7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22" fillId="0" borderId="3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15" fontId="10" fillId="0" borderId="11" xfId="0" quotePrefix="1" applyNumberFormat="1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quotePrefix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5" fontId="10" fillId="0" borderId="17" xfId="0" quotePrefix="1" applyNumberFormat="1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center" wrapText="1"/>
    </xf>
    <xf numFmtId="0" fontId="19" fillId="0" borderId="46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 wrapText="1"/>
    </xf>
    <xf numFmtId="0" fontId="23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1" fillId="0" borderId="39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6" xfId="0" applyFont="1" applyBorder="1" applyAlignment="1">
      <alignment horizontal="center" vertical="top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6" xfId="0" applyFont="1" applyBorder="1" applyAlignment="1">
      <alignment horizontal="center"/>
    </xf>
    <xf numFmtId="0" fontId="21" fillId="0" borderId="48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49" xfId="0" applyFont="1" applyBorder="1" applyAlignment="1">
      <alignment horizontal="lef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30</xdr:row>
      <xdr:rowOff>9525</xdr:rowOff>
    </xdr:from>
    <xdr:to>
      <xdr:col>1</xdr:col>
      <xdr:colOff>352425</xdr:colOff>
      <xdr:row>31</xdr:row>
      <xdr:rowOff>66675</xdr:rowOff>
    </xdr:to>
    <xdr:sp macro="" textlink="">
      <xdr:nvSpPr>
        <xdr:cNvPr id="2" name="Rectangle 5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19075" y="7848600"/>
          <a:ext cx="2571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142875</xdr:colOff>
      <xdr:row>30</xdr:row>
      <xdr:rowOff>0</xdr:rowOff>
    </xdr:from>
    <xdr:to>
      <xdr:col>5</xdr:col>
      <xdr:colOff>400050</xdr:colOff>
      <xdr:row>31</xdr:row>
      <xdr:rowOff>57150</xdr:rowOff>
    </xdr:to>
    <xdr:sp macro="" textlink="">
      <xdr:nvSpPr>
        <xdr:cNvPr id="3" name="Rectangle 5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4391025" y="7839075"/>
          <a:ext cx="25717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142875</xdr:colOff>
      <xdr:row>31</xdr:row>
      <xdr:rowOff>114300</xdr:rowOff>
    </xdr:from>
    <xdr:to>
      <xdr:col>5</xdr:col>
      <xdr:colOff>400050</xdr:colOff>
      <xdr:row>33</xdr:row>
      <xdr:rowOff>19050</xdr:rowOff>
    </xdr:to>
    <xdr:sp macro="" textlink="">
      <xdr:nvSpPr>
        <xdr:cNvPr id="4" name="Rectangle 5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4391025" y="8143875"/>
          <a:ext cx="2571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609600</xdr:colOff>
      <xdr:row>1</xdr:row>
      <xdr:rowOff>9525</xdr:rowOff>
    </xdr:from>
    <xdr:to>
      <xdr:col>2</xdr:col>
      <xdr:colOff>295275</xdr:colOff>
      <xdr:row>7</xdr:row>
      <xdr:rowOff>19050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00025"/>
          <a:ext cx="609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W41"/>
  <sheetViews>
    <sheetView tabSelected="1" zoomScaleNormal="100" workbookViewId="0">
      <selection activeCell="C18" sqref="C18:F18"/>
    </sheetView>
  </sheetViews>
  <sheetFormatPr defaultRowHeight="13.2" x14ac:dyDescent="0.25"/>
  <cols>
    <col min="1" max="1" width="1.88671875" style="2" customWidth="1"/>
    <col min="2" max="2" width="13.88671875" style="2" customWidth="1"/>
    <col min="3" max="3" width="23.44140625" style="2" customWidth="1"/>
    <col min="4" max="4" width="1.44140625" style="2" customWidth="1"/>
    <col min="5" max="5" width="23.109375" style="2" customWidth="1"/>
    <col min="6" max="6" width="24.33203125" style="2" customWidth="1"/>
    <col min="7" max="7" width="10" style="2" customWidth="1"/>
    <col min="8" max="8" width="1.5546875" style="2" customWidth="1"/>
    <col min="9" max="9" width="3" style="2" customWidth="1"/>
    <col min="10" max="10" width="16.6640625" style="2" customWidth="1"/>
    <col min="11" max="11" width="0.5546875" style="2" customWidth="1"/>
    <col min="12" max="12" width="13.109375" style="50" customWidth="1"/>
    <col min="13" max="13" width="14.44140625" style="53" customWidth="1"/>
    <col min="14" max="14" width="14" style="51" bestFit="1" customWidth="1"/>
    <col min="15" max="15" width="6.33203125" style="51" customWidth="1"/>
    <col min="16" max="16" width="7.109375" style="2" customWidth="1"/>
    <col min="17" max="17" width="28.88671875" style="2" customWidth="1"/>
    <col min="18" max="18" width="9.109375" style="2"/>
    <col min="19" max="21" width="9.109375" style="70"/>
    <col min="22" max="203" width="9.109375" style="2"/>
    <col min="204" max="204" width="1.88671875" style="2" customWidth="1"/>
    <col min="205" max="205" width="15.44140625" style="2" customWidth="1"/>
    <col min="206" max="206" width="33.88671875" style="2" customWidth="1"/>
    <col min="207" max="207" width="10.88671875" style="2" customWidth="1"/>
    <col min="208" max="208" width="12.88671875" style="2" customWidth="1"/>
    <col min="209" max="209" width="10.6640625" style="2" customWidth="1"/>
    <col min="210" max="210" width="8.109375" style="2" customWidth="1"/>
    <col min="211" max="211" width="5.88671875" style="2" customWidth="1"/>
    <col min="212" max="459" width="9.109375" style="2"/>
    <col min="460" max="460" width="1.88671875" style="2" customWidth="1"/>
    <col min="461" max="461" width="15.44140625" style="2" customWidth="1"/>
    <col min="462" max="462" width="33.88671875" style="2" customWidth="1"/>
    <col min="463" max="463" width="10.88671875" style="2" customWidth="1"/>
    <col min="464" max="464" width="12.88671875" style="2" customWidth="1"/>
    <col min="465" max="465" width="10.6640625" style="2" customWidth="1"/>
    <col min="466" max="466" width="8.109375" style="2" customWidth="1"/>
    <col min="467" max="467" width="5.88671875" style="2" customWidth="1"/>
    <col min="468" max="715" width="9.109375" style="2"/>
    <col min="716" max="716" width="1.88671875" style="2" customWidth="1"/>
    <col min="717" max="717" width="15.44140625" style="2" customWidth="1"/>
    <col min="718" max="718" width="33.88671875" style="2" customWidth="1"/>
    <col min="719" max="719" width="10.88671875" style="2" customWidth="1"/>
    <col min="720" max="720" width="12.88671875" style="2" customWidth="1"/>
    <col min="721" max="721" width="10.6640625" style="2" customWidth="1"/>
    <col min="722" max="722" width="8.109375" style="2" customWidth="1"/>
    <col min="723" max="723" width="5.88671875" style="2" customWidth="1"/>
    <col min="724" max="971" width="9.109375" style="2"/>
    <col min="972" max="972" width="1.88671875" style="2" customWidth="1"/>
    <col min="973" max="973" width="15.44140625" style="2" customWidth="1"/>
    <col min="974" max="974" width="33.88671875" style="2" customWidth="1"/>
    <col min="975" max="975" width="10.88671875" style="2" customWidth="1"/>
    <col min="976" max="976" width="12.88671875" style="2" customWidth="1"/>
    <col min="977" max="977" width="10.6640625" style="2" customWidth="1"/>
    <col min="978" max="978" width="8.109375" style="2" customWidth="1"/>
    <col min="979" max="979" width="5.88671875" style="2" customWidth="1"/>
    <col min="980" max="1227" width="9.109375" style="2"/>
    <col min="1228" max="1228" width="1.88671875" style="2" customWidth="1"/>
    <col min="1229" max="1229" width="15.44140625" style="2" customWidth="1"/>
    <col min="1230" max="1230" width="33.88671875" style="2" customWidth="1"/>
    <col min="1231" max="1231" width="10.88671875" style="2" customWidth="1"/>
    <col min="1232" max="1232" width="12.88671875" style="2" customWidth="1"/>
    <col min="1233" max="1233" width="10.6640625" style="2" customWidth="1"/>
    <col min="1234" max="1234" width="8.109375" style="2" customWidth="1"/>
    <col min="1235" max="1235" width="5.88671875" style="2" customWidth="1"/>
    <col min="1236" max="1483" width="9.109375" style="2"/>
    <col min="1484" max="1484" width="1.88671875" style="2" customWidth="1"/>
    <col min="1485" max="1485" width="15.44140625" style="2" customWidth="1"/>
    <col min="1486" max="1486" width="33.88671875" style="2" customWidth="1"/>
    <col min="1487" max="1487" width="10.88671875" style="2" customWidth="1"/>
    <col min="1488" max="1488" width="12.88671875" style="2" customWidth="1"/>
    <col min="1489" max="1489" width="10.6640625" style="2" customWidth="1"/>
    <col min="1490" max="1490" width="8.109375" style="2" customWidth="1"/>
    <col min="1491" max="1491" width="5.88671875" style="2" customWidth="1"/>
    <col min="1492" max="1739" width="9.109375" style="2"/>
    <col min="1740" max="1740" width="1.88671875" style="2" customWidth="1"/>
    <col min="1741" max="1741" width="15.44140625" style="2" customWidth="1"/>
    <col min="1742" max="1742" width="33.88671875" style="2" customWidth="1"/>
    <col min="1743" max="1743" width="10.88671875" style="2" customWidth="1"/>
    <col min="1744" max="1744" width="12.88671875" style="2" customWidth="1"/>
    <col min="1745" max="1745" width="10.6640625" style="2" customWidth="1"/>
    <col min="1746" max="1746" width="8.109375" style="2" customWidth="1"/>
    <col min="1747" max="1747" width="5.88671875" style="2" customWidth="1"/>
    <col min="1748" max="1995" width="9.109375" style="2"/>
    <col min="1996" max="1996" width="1.88671875" style="2" customWidth="1"/>
    <col min="1997" max="1997" width="15.44140625" style="2" customWidth="1"/>
    <col min="1998" max="1998" width="33.88671875" style="2" customWidth="1"/>
    <col min="1999" max="1999" width="10.88671875" style="2" customWidth="1"/>
    <col min="2000" max="2000" width="12.88671875" style="2" customWidth="1"/>
    <col min="2001" max="2001" width="10.6640625" style="2" customWidth="1"/>
    <col min="2002" max="2002" width="8.109375" style="2" customWidth="1"/>
    <col min="2003" max="2003" width="5.88671875" style="2" customWidth="1"/>
    <col min="2004" max="2251" width="9.109375" style="2"/>
    <col min="2252" max="2252" width="1.88671875" style="2" customWidth="1"/>
    <col min="2253" max="2253" width="15.44140625" style="2" customWidth="1"/>
    <col min="2254" max="2254" width="33.88671875" style="2" customWidth="1"/>
    <col min="2255" max="2255" width="10.88671875" style="2" customWidth="1"/>
    <col min="2256" max="2256" width="12.88671875" style="2" customWidth="1"/>
    <col min="2257" max="2257" width="10.6640625" style="2" customWidth="1"/>
    <col min="2258" max="2258" width="8.109375" style="2" customWidth="1"/>
    <col min="2259" max="2259" width="5.88671875" style="2" customWidth="1"/>
    <col min="2260" max="2507" width="9.109375" style="2"/>
    <col min="2508" max="2508" width="1.88671875" style="2" customWidth="1"/>
    <col min="2509" max="2509" width="15.44140625" style="2" customWidth="1"/>
    <col min="2510" max="2510" width="33.88671875" style="2" customWidth="1"/>
    <col min="2511" max="2511" width="10.88671875" style="2" customWidth="1"/>
    <col min="2512" max="2512" width="12.88671875" style="2" customWidth="1"/>
    <col min="2513" max="2513" width="10.6640625" style="2" customWidth="1"/>
    <col min="2514" max="2514" width="8.109375" style="2" customWidth="1"/>
    <col min="2515" max="2515" width="5.88671875" style="2" customWidth="1"/>
    <col min="2516" max="2763" width="9.109375" style="2"/>
    <col min="2764" max="2764" width="1.88671875" style="2" customWidth="1"/>
    <col min="2765" max="2765" width="15.44140625" style="2" customWidth="1"/>
    <col min="2766" max="2766" width="33.88671875" style="2" customWidth="1"/>
    <col min="2767" max="2767" width="10.88671875" style="2" customWidth="1"/>
    <col min="2768" max="2768" width="12.88671875" style="2" customWidth="1"/>
    <col min="2769" max="2769" width="10.6640625" style="2" customWidth="1"/>
    <col min="2770" max="2770" width="8.109375" style="2" customWidth="1"/>
    <col min="2771" max="2771" width="5.88671875" style="2" customWidth="1"/>
    <col min="2772" max="3019" width="9.109375" style="2"/>
    <col min="3020" max="3020" width="1.88671875" style="2" customWidth="1"/>
    <col min="3021" max="3021" width="15.44140625" style="2" customWidth="1"/>
    <col min="3022" max="3022" width="33.88671875" style="2" customWidth="1"/>
    <col min="3023" max="3023" width="10.88671875" style="2" customWidth="1"/>
    <col min="3024" max="3024" width="12.88671875" style="2" customWidth="1"/>
    <col min="3025" max="3025" width="10.6640625" style="2" customWidth="1"/>
    <col min="3026" max="3026" width="8.109375" style="2" customWidth="1"/>
    <col min="3027" max="3027" width="5.88671875" style="2" customWidth="1"/>
    <col min="3028" max="3275" width="9.109375" style="2"/>
    <col min="3276" max="3276" width="1.88671875" style="2" customWidth="1"/>
    <col min="3277" max="3277" width="15.44140625" style="2" customWidth="1"/>
    <col min="3278" max="3278" width="33.88671875" style="2" customWidth="1"/>
    <col min="3279" max="3279" width="10.88671875" style="2" customWidth="1"/>
    <col min="3280" max="3280" width="12.88671875" style="2" customWidth="1"/>
    <col min="3281" max="3281" width="10.6640625" style="2" customWidth="1"/>
    <col min="3282" max="3282" width="8.109375" style="2" customWidth="1"/>
    <col min="3283" max="3283" width="5.88671875" style="2" customWidth="1"/>
    <col min="3284" max="3531" width="9.109375" style="2"/>
    <col min="3532" max="3532" width="1.88671875" style="2" customWidth="1"/>
    <col min="3533" max="3533" width="15.44140625" style="2" customWidth="1"/>
    <col min="3534" max="3534" width="33.88671875" style="2" customWidth="1"/>
    <col min="3535" max="3535" width="10.88671875" style="2" customWidth="1"/>
    <col min="3536" max="3536" width="12.88671875" style="2" customWidth="1"/>
    <col min="3537" max="3537" width="10.6640625" style="2" customWidth="1"/>
    <col min="3538" max="3538" width="8.109375" style="2" customWidth="1"/>
    <col min="3539" max="3539" width="5.88671875" style="2" customWidth="1"/>
    <col min="3540" max="3787" width="9.109375" style="2"/>
    <col min="3788" max="3788" width="1.88671875" style="2" customWidth="1"/>
    <col min="3789" max="3789" width="15.44140625" style="2" customWidth="1"/>
    <col min="3790" max="3790" width="33.88671875" style="2" customWidth="1"/>
    <col min="3791" max="3791" width="10.88671875" style="2" customWidth="1"/>
    <col min="3792" max="3792" width="12.88671875" style="2" customWidth="1"/>
    <col min="3793" max="3793" width="10.6640625" style="2" customWidth="1"/>
    <col min="3794" max="3794" width="8.109375" style="2" customWidth="1"/>
    <col min="3795" max="3795" width="5.88671875" style="2" customWidth="1"/>
    <col min="3796" max="4043" width="9.109375" style="2"/>
    <col min="4044" max="4044" width="1.88671875" style="2" customWidth="1"/>
    <col min="4045" max="4045" width="15.44140625" style="2" customWidth="1"/>
    <col min="4046" max="4046" width="33.88671875" style="2" customWidth="1"/>
    <col min="4047" max="4047" width="10.88671875" style="2" customWidth="1"/>
    <col min="4048" max="4048" width="12.88671875" style="2" customWidth="1"/>
    <col min="4049" max="4049" width="10.6640625" style="2" customWidth="1"/>
    <col min="4050" max="4050" width="8.109375" style="2" customWidth="1"/>
    <col min="4051" max="4051" width="5.88671875" style="2" customWidth="1"/>
    <col min="4052" max="4299" width="9.109375" style="2"/>
    <col min="4300" max="4300" width="1.88671875" style="2" customWidth="1"/>
    <col min="4301" max="4301" width="15.44140625" style="2" customWidth="1"/>
    <col min="4302" max="4302" width="33.88671875" style="2" customWidth="1"/>
    <col min="4303" max="4303" width="10.88671875" style="2" customWidth="1"/>
    <col min="4304" max="4304" width="12.88671875" style="2" customWidth="1"/>
    <col min="4305" max="4305" width="10.6640625" style="2" customWidth="1"/>
    <col min="4306" max="4306" width="8.109375" style="2" customWidth="1"/>
    <col min="4307" max="4307" width="5.88671875" style="2" customWidth="1"/>
    <col min="4308" max="4555" width="9.109375" style="2"/>
    <col min="4556" max="4556" width="1.88671875" style="2" customWidth="1"/>
    <col min="4557" max="4557" width="15.44140625" style="2" customWidth="1"/>
    <col min="4558" max="4558" width="33.88671875" style="2" customWidth="1"/>
    <col min="4559" max="4559" width="10.88671875" style="2" customWidth="1"/>
    <col min="4560" max="4560" width="12.88671875" style="2" customWidth="1"/>
    <col min="4561" max="4561" width="10.6640625" style="2" customWidth="1"/>
    <col min="4562" max="4562" width="8.109375" style="2" customWidth="1"/>
    <col min="4563" max="4563" width="5.88671875" style="2" customWidth="1"/>
    <col min="4564" max="4811" width="9.109375" style="2"/>
    <col min="4812" max="4812" width="1.88671875" style="2" customWidth="1"/>
    <col min="4813" max="4813" width="15.44140625" style="2" customWidth="1"/>
    <col min="4814" max="4814" width="33.88671875" style="2" customWidth="1"/>
    <col min="4815" max="4815" width="10.88671875" style="2" customWidth="1"/>
    <col min="4816" max="4816" width="12.88671875" style="2" customWidth="1"/>
    <col min="4817" max="4817" width="10.6640625" style="2" customWidth="1"/>
    <col min="4818" max="4818" width="8.109375" style="2" customWidth="1"/>
    <col min="4819" max="4819" width="5.88671875" style="2" customWidth="1"/>
    <col min="4820" max="5067" width="9.109375" style="2"/>
    <col min="5068" max="5068" width="1.88671875" style="2" customWidth="1"/>
    <col min="5069" max="5069" width="15.44140625" style="2" customWidth="1"/>
    <col min="5070" max="5070" width="33.88671875" style="2" customWidth="1"/>
    <col min="5071" max="5071" width="10.88671875" style="2" customWidth="1"/>
    <col min="5072" max="5072" width="12.88671875" style="2" customWidth="1"/>
    <col min="5073" max="5073" width="10.6640625" style="2" customWidth="1"/>
    <col min="5074" max="5074" width="8.109375" style="2" customWidth="1"/>
    <col min="5075" max="5075" width="5.88671875" style="2" customWidth="1"/>
    <col min="5076" max="5323" width="9.109375" style="2"/>
    <col min="5324" max="5324" width="1.88671875" style="2" customWidth="1"/>
    <col min="5325" max="5325" width="15.44140625" style="2" customWidth="1"/>
    <col min="5326" max="5326" width="33.88671875" style="2" customWidth="1"/>
    <col min="5327" max="5327" width="10.88671875" style="2" customWidth="1"/>
    <col min="5328" max="5328" width="12.88671875" style="2" customWidth="1"/>
    <col min="5329" max="5329" width="10.6640625" style="2" customWidth="1"/>
    <col min="5330" max="5330" width="8.109375" style="2" customWidth="1"/>
    <col min="5331" max="5331" width="5.88671875" style="2" customWidth="1"/>
    <col min="5332" max="5579" width="9.109375" style="2"/>
    <col min="5580" max="5580" width="1.88671875" style="2" customWidth="1"/>
    <col min="5581" max="5581" width="15.44140625" style="2" customWidth="1"/>
    <col min="5582" max="5582" width="33.88671875" style="2" customWidth="1"/>
    <col min="5583" max="5583" width="10.88671875" style="2" customWidth="1"/>
    <col min="5584" max="5584" width="12.88671875" style="2" customWidth="1"/>
    <col min="5585" max="5585" width="10.6640625" style="2" customWidth="1"/>
    <col min="5586" max="5586" width="8.109375" style="2" customWidth="1"/>
    <col min="5587" max="5587" width="5.88671875" style="2" customWidth="1"/>
    <col min="5588" max="5835" width="9.109375" style="2"/>
    <col min="5836" max="5836" width="1.88671875" style="2" customWidth="1"/>
    <col min="5837" max="5837" width="15.44140625" style="2" customWidth="1"/>
    <col min="5838" max="5838" width="33.88671875" style="2" customWidth="1"/>
    <col min="5839" max="5839" width="10.88671875" style="2" customWidth="1"/>
    <col min="5840" max="5840" width="12.88671875" style="2" customWidth="1"/>
    <col min="5841" max="5841" width="10.6640625" style="2" customWidth="1"/>
    <col min="5842" max="5842" width="8.109375" style="2" customWidth="1"/>
    <col min="5843" max="5843" width="5.88671875" style="2" customWidth="1"/>
    <col min="5844" max="6091" width="9.109375" style="2"/>
    <col min="6092" max="6092" width="1.88671875" style="2" customWidth="1"/>
    <col min="6093" max="6093" width="15.44140625" style="2" customWidth="1"/>
    <col min="6094" max="6094" width="33.88671875" style="2" customWidth="1"/>
    <col min="6095" max="6095" width="10.88671875" style="2" customWidth="1"/>
    <col min="6096" max="6096" width="12.88671875" style="2" customWidth="1"/>
    <col min="6097" max="6097" width="10.6640625" style="2" customWidth="1"/>
    <col min="6098" max="6098" width="8.109375" style="2" customWidth="1"/>
    <col min="6099" max="6099" width="5.88671875" style="2" customWidth="1"/>
    <col min="6100" max="6347" width="9.109375" style="2"/>
    <col min="6348" max="6348" width="1.88671875" style="2" customWidth="1"/>
    <col min="6349" max="6349" width="15.44140625" style="2" customWidth="1"/>
    <col min="6350" max="6350" width="33.88671875" style="2" customWidth="1"/>
    <col min="6351" max="6351" width="10.88671875" style="2" customWidth="1"/>
    <col min="6352" max="6352" width="12.88671875" style="2" customWidth="1"/>
    <col min="6353" max="6353" width="10.6640625" style="2" customWidth="1"/>
    <col min="6354" max="6354" width="8.109375" style="2" customWidth="1"/>
    <col min="6355" max="6355" width="5.88671875" style="2" customWidth="1"/>
    <col min="6356" max="6603" width="9.109375" style="2"/>
    <col min="6604" max="6604" width="1.88671875" style="2" customWidth="1"/>
    <col min="6605" max="6605" width="15.44140625" style="2" customWidth="1"/>
    <col min="6606" max="6606" width="33.88671875" style="2" customWidth="1"/>
    <col min="6607" max="6607" width="10.88671875" style="2" customWidth="1"/>
    <col min="6608" max="6608" width="12.88671875" style="2" customWidth="1"/>
    <col min="6609" max="6609" width="10.6640625" style="2" customWidth="1"/>
    <col min="6610" max="6610" width="8.109375" style="2" customWidth="1"/>
    <col min="6611" max="6611" width="5.88671875" style="2" customWidth="1"/>
    <col min="6612" max="6859" width="9.109375" style="2"/>
    <col min="6860" max="6860" width="1.88671875" style="2" customWidth="1"/>
    <col min="6861" max="6861" width="15.44140625" style="2" customWidth="1"/>
    <col min="6862" max="6862" width="33.88671875" style="2" customWidth="1"/>
    <col min="6863" max="6863" width="10.88671875" style="2" customWidth="1"/>
    <col min="6864" max="6864" width="12.88671875" style="2" customWidth="1"/>
    <col min="6865" max="6865" width="10.6640625" style="2" customWidth="1"/>
    <col min="6866" max="6866" width="8.109375" style="2" customWidth="1"/>
    <col min="6867" max="6867" width="5.88671875" style="2" customWidth="1"/>
    <col min="6868" max="7115" width="9.109375" style="2"/>
    <col min="7116" max="7116" width="1.88671875" style="2" customWidth="1"/>
    <col min="7117" max="7117" width="15.44140625" style="2" customWidth="1"/>
    <col min="7118" max="7118" width="33.88671875" style="2" customWidth="1"/>
    <col min="7119" max="7119" width="10.88671875" style="2" customWidth="1"/>
    <col min="7120" max="7120" width="12.88671875" style="2" customWidth="1"/>
    <col min="7121" max="7121" width="10.6640625" style="2" customWidth="1"/>
    <col min="7122" max="7122" width="8.109375" style="2" customWidth="1"/>
    <col min="7123" max="7123" width="5.88671875" style="2" customWidth="1"/>
    <col min="7124" max="7371" width="9.109375" style="2"/>
    <col min="7372" max="7372" width="1.88671875" style="2" customWidth="1"/>
    <col min="7373" max="7373" width="15.44140625" style="2" customWidth="1"/>
    <col min="7374" max="7374" width="33.88671875" style="2" customWidth="1"/>
    <col min="7375" max="7375" width="10.88671875" style="2" customWidth="1"/>
    <col min="7376" max="7376" width="12.88671875" style="2" customWidth="1"/>
    <col min="7377" max="7377" width="10.6640625" style="2" customWidth="1"/>
    <col min="7378" max="7378" width="8.109375" style="2" customWidth="1"/>
    <col min="7379" max="7379" width="5.88671875" style="2" customWidth="1"/>
    <col min="7380" max="7627" width="9.109375" style="2"/>
    <col min="7628" max="7628" width="1.88671875" style="2" customWidth="1"/>
    <col min="7629" max="7629" width="15.44140625" style="2" customWidth="1"/>
    <col min="7630" max="7630" width="33.88671875" style="2" customWidth="1"/>
    <col min="7631" max="7631" width="10.88671875" style="2" customWidth="1"/>
    <col min="7632" max="7632" width="12.88671875" style="2" customWidth="1"/>
    <col min="7633" max="7633" width="10.6640625" style="2" customWidth="1"/>
    <col min="7634" max="7634" width="8.109375" style="2" customWidth="1"/>
    <col min="7635" max="7635" width="5.88671875" style="2" customWidth="1"/>
    <col min="7636" max="7883" width="9.109375" style="2"/>
    <col min="7884" max="7884" width="1.88671875" style="2" customWidth="1"/>
    <col min="7885" max="7885" width="15.44140625" style="2" customWidth="1"/>
    <col min="7886" max="7886" width="33.88671875" style="2" customWidth="1"/>
    <col min="7887" max="7887" width="10.88671875" style="2" customWidth="1"/>
    <col min="7888" max="7888" width="12.88671875" style="2" customWidth="1"/>
    <col min="7889" max="7889" width="10.6640625" style="2" customWidth="1"/>
    <col min="7890" max="7890" width="8.109375" style="2" customWidth="1"/>
    <col min="7891" max="7891" width="5.88671875" style="2" customWidth="1"/>
    <col min="7892" max="8139" width="9.109375" style="2"/>
    <col min="8140" max="8140" width="1.88671875" style="2" customWidth="1"/>
    <col min="8141" max="8141" width="15.44140625" style="2" customWidth="1"/>
    <col min="8142" max="8142" width="33.88671875" style="2" customWidth="1"/>
    <col min="8143" max="8143" width="10.88671875" style="2" customWidth="1"/>
    <col min="8144" max="8144" width="12.88671875" style="2" customWidth="1"/>
    <col min="8145" max="8145" width="10.6640625" style="2" customWidth="1"/>
    <col min="8146" max="8146" width="8.109375" style="2" customWidth="1"/>
    <col min="8147" max="8147" width="5.88671875" style="2" customWidth="1"/>
    <col min="8148" max="8395" width="9.109375" style="2"/>
    <col min="8396" max="8396" width="1.88671875" style="2" customWidth="1"/>
    <col min="8397" max="8397" width="15.44140625" style="2" customWidth="1"/>
    <col min="8398" max="8398" width="33.88671875" style="2" customWidth="1"/>
    <col min="8399" max="8399" width="10.88671875" style="2" customWidth="1"/>
    <col min="8400" max="8400" width="12.88671875" style="2" customWidth="1"/>
    <col min="8401" max="8401" width="10.6640625" style="2" customWidth="1"/>
    <col min="8402" max="8402" width="8.109375" style="2" customWidth="1"/>
    <col min="8403" max="8403" width="5.88671875" style="2" customWidth="1"/>
    <col min="8404" max="8651" width="9.109375" style="2"/>
    <col min="8652" max="8652" width="1.88671875" style="2" customWidth="1"/>
    <col min="8653" max="8653" width="15.44140625" style="2" customWidth="1"/>
    <col min="8654" max="8654" width="33.88671875" style="2" customWidth="1"/>
    <col min="8655" max="8655" width="10.88671875" style="2" customWidth="1"/>
    <col min="8656" max="8656" width="12.88671875" style="2" customWidth="1"/>
    <col min="8657" max="8657" width="10.6640625" style="2" customWidth="1"/>
    <col min="8658" max="8658" width="8.109375" style="2" customWidth="1"/>
    <col min="8659" max="8659" width="5.88671875" style="2" customWidth="1"/>
    <col min="8660" max="8907" width="9.109375" style="2"/>
    <col min="8908" max="8908" width="1.88671875" style="2" customWidth="1"/>
    <col min="8909" max="8909" width="15.44140625" style="2" customWidth="1"/>
    <col min="8910" max="8910" width="33.88671875" style="2" customWidth="1"/>
    <col min="8911" max="8911" width="10.88671875" style="2" customWidth="1"/>
    <col min="8912" max="8912" width="12.88671875" style="2" customWidth="1"/>
    <col min="8913" max="8913" width="10.6640625" style="2" customWidth="1"/>
    <col min="8914" max="8914" width="8.109375" style="2" customWidth="1"/>
    <col min="8915" max="8915" width="5.88671875" style="2" customWidth="1"/>
    <col min="8916" max="9163" width="9.109375" style="2"/>
    <col min="9164" max="9164" width="1.88671875" style="2" customWidth="1"/>
    <col min="9165" max="9165" width="15.44140625" style="2" customWidth="1"/>
    <col min="9166" max="9166" width="33.88671875" style="2" customWidth="1"/>
    <col min="9167" max="9167" width="10.88671875" style="2" customWidth="1"/>
    <col min="9168" max="9168" width="12.88671875" style="2" customWidth="1"/>
    <col min="9169" max="9169" width="10.6640625" style="2" customWidth="1"/>
    <col min="9170" max="9170" width="8.109375" style="2" customWidth="1"/>
    <col min="9171" max="9171" width="5.88671875" style="2" customWidth="1"/>
    <col min="9172" max="9419" width="9.109375" style="2"/>
    <col min="9420" max="9420" width="1.88671875" style="2" customWidth="1"/>
    <col min="9421" max="9421" width="15.44140625" style="2" customWidth="1"/>
    <col min="9422" max="9422" width="33.88671875" style="2" customWidth="1"/>
    <col min="9423" max="9423" width="10.88671875" style="2" customWidth="1"/>
    <col min="9424" max="9424" width="12.88671875" style="2" customWidth="1"/>
    <col min="9425" max="9425" width="10.6640625" style="2" customWidth="1"/>
    <col min="9426" max="9426" width="8.109375" style="2" customWidth="1"/>
    <col min="9427" max="9427" width="5.88671875" style="2" customWidth="1"/>
    <col min="9428" max="9675" width="9.109375" style="2"/>
    <col min="9676" max="9676" width="1.88671875" style="2" customWidth="1"/>
    <col min="9677" max="9677" width="15.44140625" style="2" customWidth="1"/>
    <col min="9678" max="9678" width="33.88671875" style="2" customWidth="1"/>
    <col min="9679" max="9679" width="10.88671875" style="2" customWidth="1"/>
    <col min="9680" max="9680" width="12.88671875" style="2" customWidth="1"/>
    <col min="9681" max="9681" width="10.6640625" style="2" customWidth="1"/>
    <col min="9682" max="9682" width="8.109375" style="2" customWidth="1"/>
    <col min="9683" max="9683" width="5.88671875" style="2" customWidth="1"/>
    <col min="9684" max="9931" width="9.109375" style="2"/>
    <col min="9932" max="9932" width="1.88671875" style="2" customWidth="1"/>
    <col min="9933" max="9933" width="15.44140625" style="2" customWidth="1"/>
    <col min="9934" max="9934" width="33.88671875" style="2" customWidth="1"/>
    <col min="9935" max="9935" width="10.88671875" style="2" customWidth="1"/>
    <col min="9936" max="9936" width="12.88671875" style="2" customWidth="1"/>
    <col min="9937" max="9937" width="10.6640625" style="2" customWidth="1"/>
    <col min="9938" max="9938" width="8.109375" style="2" customWidth="1"/>
    <col min="9939" max="9939" width="5.88671875" style="2" customWidth="1"/>
    <col min="9940" max="10187" width="9.109375" style="2"/>
    <col min="10188" max="10188" width="1.88671875" style="2" customWidth="1"/>
    <col min="10189" max="10189" width="15.44140625" style="2" customWidth="1"/>
    <col min="10190" max="10190" width="33.88671875" style="2" customWidth="1"/>
    <col min="10191" max="10191" width="10.88671875" style="2" customWidth="1"/>
    <col min="10192" max="10192" width="12.88671875" style="2" customWidth="1"/>
    <col min="10193" max="10193" width="10.6640625" style="2" customWidth="1"/>
    <col min="10194" max="10194" width="8.109375" style="2" customWidth="1"/>
    <col min="10195" max="10195" width="5.88671875" style="2" customWidth="1"/>
    <col min="10196" max="10443" width="9.109375" style="2"/>
    <col min="10444" max="10444" width="1.88671875" style="2" customWidth="1"/>
    <col min="10445" max="10445" width="15.44140625" style="2" customWidth="1"/>
    <col min="10446" max="10446" width="33.88671875" style="2" customWidth="1"/>
    <col min="10447" max="10447" width="10.88671875" style="2" customWidth="1"/>
    <col min="10448" max="10448" width="12.88671875" style="2" customWidth="1"/>
    <col min="10449" max="10449" width="10.6640625" style="2" customWidth="1"/>
    <col min="10450" max="10450" width="8.109375" style="2" customWidth="1"/>
    <col min="10451" max="10451" width="5.88671875" style="2" customWidth="1"/>
    <col min="10452" max="10699" width="9.109375" style="2"/>
    <col min="10700" max="10700" width="1.88671875" style="2" customWidth="1"/>
    <col min="10701" max="10701" width="15.44140625" style="2" customWidth="1"/>
    <col min="10702" max="10702" width="33.88671875" style="2" customWidth="1"/>
    <col min="10703" max="10703" width="10.88671875" style="2" customWidth="1"/>
    <col min="10704" max="10704" width="12.88671875" style="2" customWidth="1"/>
    <col min="10705" max="10705" width="10.6640625" style="2" customWidth="1"/>
    <col min="10706" max="10706" width="8.109375" style="2" customWidth="1"/>
    <col min="10707" max="10707" width="5.88671875" style="2" customWidth="1"/>
    <col min="10708" max="10955" width="9.109375" style="2"/>
    <col min="10956" max="10956" width="1.88671875" style="2" customWidth="1"/>
    <col min="10957" max="10957" width="15.44140625" style="2" customWidth="1"/>
    <col min="10958" max="10958" width="33.88671875" style="2" customWidth="1"/>
    <col min="10959" max="10959" width="10.88671875" style="2" customWidth="1"/>
    <col min="10960" max="10960" width="12.88671875" style="2" customWidth="1"/>
    <col min="10961" max="10961" width="10.6640625" style="2" customWidth="1"/>
    <col min="10962" max="10962" width="8.109375" style="2" customWidth="1"/>
    <col min="10963" max="10963" width="5.88671875" style="2" customWidth="1"/>
    <col min="10964" max="11211" width="9.109375" style="2"/>
    <col min="11212" max="11212" width="1.88671875" style="2" customWidth="1"/>
    <col min="11213" max="11213" width="15.44140625" style="2" customWidth="1"/>
    <col min="11214" max="11214" width="33.88671875" style="2" customWidth="1"/>
    <col min="11215" max="11215" width="10.88671875" style="2" customWidth="1"/>
    <col min="11216" max="11216" width="12.88671875" style="2" customWidth="1"/>
    <col min="11217" max="11217" width="10.6640625" style="2" customWidth="1"/>
    <col min="11218" max="11218" width="8.109375" style="2" customWidth="1"/>
    <col min="11219" max="11219" width="5.88671875" style="2" customWidth="1"/>
    <col min="11220" max="11467" width="9.109375" style="2"/>
    <col min="11468" max="11468" width="1.88671875" style="2" customWidth="1"/>
    <col min="11469" max="11469" width="15.44140625" style="2" customWidth="1"/>
    <col min="11470" max="11470" width="33.88671875" style="2" customWidth="1"/>
    <col min="11471" max="11471" width="10.88671875" style="2" customWidth="1"/>
    <col min="11472" max="11472" width="12.88671875" style="2" customWidth="1"/>
    <col min="11473" max="11473" width="10.6640625" style="2" customWidth="1"/>
    <col min="11474" max="11474" width="8.109375" style="2" customWidth="1"/>
    <col min="11475" max="11475" width="5.88671875" style="2" customWidth="1"/>
    <col min="11476" max="11723" width="9.109375" style="2"/>
    <col min="11724" max="11724" width="1.88671875" style="2" customWidth="1"/>
    <col min="11725" max="11725" width="15.44140625" style="2" customWidth="1"/>
    <col min="11726" max="11726" width="33.88671875" style="2" customWidth="1"/>
    <col min="11727" max="11727" width="10.88671875" style="2" customWidth="1"/>
    <col min="11728" max="11728" width="12.88671875" style="2" customWidth="1"/>
    <col min="11729" max="11729" width="10.6640625" style="2" customWidth="1"/>
    <col min="11730" max="11730" width="8.109375" style="2" customWidth="1"/>
    <col min="11731" max="11731" width="5.88671875" style="2" customWidth="1"/>
    <col min="11732" max="11979" width="9.109375" style="2"/>
    <col min="11980" max="11980" width="1.88671875" style="2" customWidth="1"/>
    <col min="11981" max="11981" width="15.44140625" style="2" customWidth="1"/>
    <col min="11982" max="11982" width="33.88671875" style="2" customWidth="1"/>
    <col min="11983" max="11983" width="10.88671875" style="2" customWidth="1"/>
    <col min="11984" max="11984" width="12.88671875" style="2" customWidth="1"/>
    <col min="11985" max="11985" width="10.6640625" style="2" customWidth="1"/>
    <col min="11986" max="11986" width="8.109375" style="2" customWidth="1"/>
    <col min="11987" max="11987" width="5.88671875" style="2" customWidth="1"/>
    <col min="11988" max="12235" width="9.109375" style="2"/>
    <col min="12236" max="12236" width="1.88671875" style="2" customWidth="1"/>
    <col min="12237" max="12237" width="15.44140625" style="2" customWidth="1"/>
    <col min="12238" max="12238" width="33.88671875" style="2" customWidth="1"/>
    <col min="12239" max="12239" width="10.88671875" style="2" customWidth="1"/>
    <col min="12240" max="12240" width="12.88671875" style="2" customWidth="1"/>
    <col min="12241" max="12241" width="10.6640625" style="2" customWidth="1"/>
    <col min="12242" max="12242" width="8.109375" style="2" customWidth="1"/>
    <col min="12243" max="12243" width="5.88671875" style="2" customWidth="1"/>
    <col min="12244" max="12491" width="9.109375" style="2"/>
    <col min="12492" max="12492" width="1.88671875" style="2" customWidth="1"/>
    <col min="12493" max="12493" width="15.44140625" style="2" customWidth="1"/>
    <col min="12494" max="12494" width="33.88671875" style="2" customWidth="1"/>
    <col min="12495" max="12495" width="10.88671875" style="2" customWidth="1"/>
    <col min="12496" max="12496" width="12.88671875" style="2" customWidth="1"/>
    <col min="12497" max="12497" width="10.6640625" style="2" customWidth="1"/>
    <col min="12498" max="12498" width="8.109375" style="2" customWidth="1"/>
    <col min="12499" max="12499" width="5.88671875" style="2" customWidth="1"/>
    <col min="12500" max="12747" width="9.109375" style="2"/>
    <col min="12748" max="12748" width="1.88671875" style="2" customWidth="1"/>
    <col min="12749" max="12749" width="15.44140625" style="2" customWidth="1"/>
    <col min="12750" max="12750" width="33.88671875" style="2" customWidth="1"/>
    <col min="12751" max="12751" width="10.88671875" style="2" customWidth="1"/>
    <col min="12752" max="12752" width="12.88671875" style="2" customWidth="1"/>
    <col min="12753" max="12753" width="10.6640625" style="2" customWidth="1"/>
    <col min="12754" max="12754" width="8.109375" style="2" customWidth="1"/>
    <col min="12755" max="12755" width="5.88671875" style="2" customWidth="1"/>
    <col min="12756" max="13003" width="9.109375" style="2"/>
    <col min="13004" max="13004" width="1.88671875" style="2" customWidth="1"/>
    <col min="13005" max="13005" width="15.44140625" style="2" customWidth="1"/>
    <col min="13006" max="13006" width="33.88671875" style="2" customWidth="1"/>
    <col min="13007" max="13007" width="10.88671875" style="2" customWidth="1"/>
    <col min="13008" max="13008" width="12.88671875" style="2" customWidth="1"/>
    <col min="13009" max="13009" width="10.6640625" style="2" customWidth="1"/>
    <col min="13010" max="13010" width="8.109375" style="2" customWidth="1"/>
    <col min="13011" max="13011" width="5.88671875" style="2" customWidth="1"/>
    <col min="13012" max="13259" width="9.109375" style="2"/>
    <col min="13260" max="13260" width="1.88671875" style="2" customWidth="1"/>
    <col min="13261" max="13261" width="15.44140625" style="2" customWidth="1"/>
    <col min="13262" max="13262" width="33.88671875" style="2" customWidth="1"/>
    <col min="13263" max="13263" width="10.88671875" style="2" customWidth="1"/>
    <col min="13264" max="13264" width="12.88671875" style="2" customWidth="1"/>
    <col min="13265" max="13265" width="10.6640625" style="2" customWidth="1"/>
    <col min="13266" max="13266" width="8.109375" style="2" customWidth="1"/>
    <col min="13267" max="13267" width="5.88671875" style="2" customWidth="1"/>
    <col min="13268" max="13515" width="9.109375" style="2"/>
    <col min="13516" max="13516" width="1.88671875" style="2" customWidth="1"/>
    <col min="13517" max="13517" width="15.44140625" style="2" customWidth="1"/>
    <col min="13518" max="13518" width="33.88671875" style="2" customWidth="1"/>
    <col min="13519" max="13519" width="10.88671875" style="2" customWidth="1"/>
    <col min="13520" max="13520" width="12.88671875" style="2" customWidth="1"/>
    <col min="13521" max="13521" width="10.6640625" style="2" customWidth="1"/>
    <col min="13522" max="13522" width="8.109375" style="2" customWidth="1"/>
    <col min="13523" max="13523" width="5.88671875" style="2" customWidth="1"/>
    <col min="13524" max="13771" width="9.109375" style="2"/>
    <col min="13772" max="13772" width="1.88671875" style="2" customWidth="1"/>
    <col min="13773" max="13773" width="15.44140625" style="2" customWidth="1"/>
    <col min="13774" max="13774" width="33.88671875" style="2" customWidth="1"/>
    <col min="13775" max="13775" width="10.88671875" style="2" customWidth="1"/>
    <col min="13776" max="13776" width="12.88671875" style="2" customWidth="1"/>
    <col min="13777" max="13777" width="10.6640625" style="2" customWidth="1"/>
    <col min="13778" max="13778" width="8.109375" style="2" customWidth="1"/>
    <col min="13779" max="13779" width="5.88671875" style="2" customWidth="1"/>
    <col min="13780" max="14027" width="9.109375" style="2"/>
    <col min="14028" max="14028" width="1.88671875" style="2" customWidth="1"/>
    <col min="14029" max="14029" width="15.44140625" style="2" customWidth="1"/>
    <col min="14030" max="14030" width="33.88671875" style="2" customWidth="1"/>
    <col min="14031" max="14031" width="10.88671875" style="2" customWidth="1"/>
    <col min="14032" max="14032" width="12.88671875" style="2" customWidth="1"/>
    <col min="14033" max="14033" width="10.6640625" style="2" customWidth="1"/>
    <col min="14034" max="14034" width="8.109375" style="2" customWidth="1"/>
    <col min="14035" max="14035" width="5.88671875" style="2" customWidth="1"/>
    <col min="14036" max="14283" width="9.109375" style="2"/>
    <col min="14284" max="14284" width="1.88671875" style="2" customWidth="1"/>
    <col min="14285" max="14285" width="15.44140625" style="2" customWidth="1"/>
    <col min="14286" max="14286" width="33.88671875" style="2" customWidth="1"/>
    <col min="14287" max="14287" width="10.88671875" style="2" customWidth="1"/>
    <col min="14288" max="14288" width="12.88671875" style="2" customWidth="1"/>
    <col min="14289" max="14289" width="10.6640625" style="2" customWidth="1"/>
    <col min="14290" max="14290" width="8.109375" style="2" customWidth="1"/>
    <col min="14291" max="14291" width="5.88671875" style="2" customWidth="1"/>
    <col min="14292" max="14539" width="9.109375" style="2"/>
    <col min="14540" max="14540" width="1.88671875" style="2" customWidth="1"/>
    <col min="14541" max="14541" width="15.44140625" style="2" customWidth="1"/>
    <col min="14542" max="14542" width="33.88671875" style="2" customWidth="1"/>
    <col min="14543" max="14543" width="10.88671875" style="2" customWidth="1"/>
    <col min="14544" max="14544" width="12.88671875" style="2" customWidth="1"/>
    <col min="14545" max="14545" width="10.6640625" style="2" customWidth="1"/>
    <col min="14546" max="14546" width="8.109375" style="2" customWidth="1"/>
    <col min="14547" max="14547" width="5.88671875" style="2" customWidth="1"/>
    <col min="14548" max="14795" width="9.109375" style="2"/>
    <col min="14796" max="14796" width="1.88671875" style="2" customWidth="1"/>
    <col min="14797" max="14797" width="15.44140625" style="2" customWidth="1"/>
    <col min="14798" max="14798" width="33.88671875" style="2" customWidth="1"/>
    <col min="14799" max="14799" width="10.88671875" style="2" customWidth="1"/>
    <col min="14800" max="14800" width="12.88671875" style="2" customWidth="1"/>
    <col min="14801" max="14801" width="10.6640625" style="2" customWidth="1"/>
    <col min="14802" max="14802" width="8.109375" style="2" customWidth="1"/>
    <col min="14803" max="14803" width="5.88671875" style="2" customWidth="1"/>
    <col min="14804" max="15051" width="9.109375" style="2"/>
    <col min="15052" max="15052" width="1.88671875" style="2" customWidth="1"/>
    <col min="15053" max="15053" width="15.44140625" style="2" customWidth="1"/>
    <col min="15054" max="15054" width="33.88671875" style="2" customWidth="1"/>
    <col min="15055" max="15055" width="10.88671875" style="2" customWidth="1"/>
    <col min="15056" max="15056" width="12.88671875" style="2" customWidth="1"/>
    <col min="15057" max="15057" width="10.6640625" style="2" customWidth="1"/>
    <col min="15058" max="15058" width="8.109375" style="2" customWidth="1"/>
    <col min="15059" max="15059" width="5.88671875" style="2" customWidth="1"/>
    <col min="15060" max="15307" width="9.109375" style="2"/>
    <col min="15308" max="15308" width="1.88671875" style="2" customWidth="1"/>
    <col min="15309" max="15309" width="15.44140625" style="2" customWidth="1"/>
    <col min="15310" max="15310" width="33.88671875" style="2" customWidth="1"/>
    <col min="15311" max="15311" width="10.88671875" style="2" customWidth="1"/>
    <col min="15312" max="15312" width="12.88671875" style="2" customWidth="1"/>
    <col min="15313" max="15313" width="10.6640625" style="2" customWidth="1"/>
    <col min="15314" max="15314" width="8.109375" style="2" customWidth="1"/>
    <col min="15315" max="15315" width="5.88671875" style="2" customWidth="1"/>
    <col min="15316" max="15563" width="9.109375" style="2"/>
    <col min="15564" max="15564" width="1.88671875" style="2" customWidth="1"/>
    <col min="15565" max="15565" width="15.44140625" style="2" customWidth="1"/>
    <col min="15566" max="15566" width="33.88671875" style="2" customWidth="1"/>
    <col min="15567" max="15567" width="10.88671875" style="2" customWidth="1"/>
    <col min="15568" max="15568" width="12.88671875" style="2" customWidth="1"/>
    <col min="15569" max="15569" width="10.6640625" style="2" customWidth="1"/>
    <col min="15570" max="15570" width="8.109375" style="2" customWidth="1"/>
    <col min="15571" max="15571" width="5.88671875" style="2" customWidth="1"/>
    <col min="15572" max="15819" width="9.109375" style="2"/>
    <col min="15820" max="15820" width="1.88671875" style="2" customWidth="1"/>
    <col min="15821" max="15821" width="15.44140625" style="2" customWidth="1"/>
    <col min="15822" max="15822" width="33.88671875" style="2" customWidth="1"/>
    <col min="15823" max="15823" width="10.88671875" style="2" customWidth="1"/>
    <col min="15824" max="15824" width="12.88671875" style="2" customWidth="1"/>
    <col min="15825" max="15825" width="10.6640625" style="2" customWidth="1"/>
    <col min="15826" max="15826" width="8.109375" style="2" customWidth="1"/>
    <col min="15827" max="15827" width="5.88671875" style="2" customWidth="1"/>
    <col min="15828" max="16075" width="9.109375" style="2"/>
    <col min="16076" max="16076" width="1.88671875" style="2" customWidth="1"/>
    <col min="16077" max="16077" width="15.44140625" style="2" customWidth="1"/>
    <col min="16078" max="16078" width="33.88671875" style="2" customWidth="1"/>
    <col min="16079" max="16079" width="10.88671875" style="2" customWidth="1"/>
    <col min="16080" max="16080" width="12.88671875" style="2" customWidth="1"/>
    <col min="16081" max="16081" width="10.6640625" style="2" customWidth="1"/>
    <col min="16082" max="16082" width="8.109375" style="2" customWidth="1"/>
    <col min="16083" max="16083" width="5.88671875" style="2" customWidth="1"/>
    <col min="16084" max="16384" width="9.109375" style="2"/>
  </cols>
  <sheetData>
    <row r="1" spans="2:21" s="1" customFormat="1" ht="15.6" x14ac:dyDescent="0.25">
      <c r="G1" s="85" t="s">
        <v>0</v>
      </c>
      <c r="H1" s="85"/>
      <c r="I1" s="85"/>
      <c r="J1" s="85"/>
      <c r="L1" s="38"/>
      <c r="M1" s="36"/>
      <c r="N1" s="42"/>
      <c r="O1" s="42"/>
      <c r="S1" s="69"/>
      <c r="T1" s="69"/>
      <c r="U1" s="69"/>
    </row>
    <row r="3" spans="2:21" ht="15" x14ac:dyDescent="0.25">
      <c r="B3" s="86" t="s">
        <v>1</v>
      </c>
      <c r="C3" s="86"/>
      <c r="D3" s="86"/>
      <c r="E3" s="86"/>
      <c r="F3" s="86"/>
      <c r="G3" s="86"/>
      <c r="H3" s="86"/>
      <c r="I3" s="86"/>
      <c r="J3" s="86"/>
    </row>
    <row r="4" spans="2:21" ht="15.6" x14ac:dyDescent="0.25">
      <c r="B4" s="87" t="s">
        <v>2</v>
      </c>
      <c r="C4" s="87"/>
      <c r="D4" s="87"/>
      <c r="E4" s="87"/>
      <c r="F4" s="87"/>
      <c r="G4" s="87"/>
      <c r="H4" s="87"/>
      <c r="I4" s="87"/>
      <c r="J4" s="87"/>
      <c r="N4" s="43"/>
      <c r="O4" s="47"/>
    </row>
    <row r="5" spans="2:21" ht="15" x14ac:dyDescent="0.25">
      <c r="B5" s="86" t="s">
        <v>3</v>
      </c>
      <c r="C5" s="86"/>
      <c r="D5" s="86"/>
      <c r="E5" s="86"/>
      <c r="F5" s="86"/>
      <c r="G5" s="86"/>
      <c r="H5" s="86"/>
      <c r="I5" s="86"/>
      <c r="J5" s="86"/>
      <c r="N5" s="43"/>
      <c r="O5" s="47"/>
    </row>
    <row r="6" spans="2:21" ht="15" x14ac:dyDescent="0.25">
      <c r="B6" s="86" t="s">
        <v>4</v>
      </c>
      <c r="C6" s="86"/>
      <c r="D6" s="86"/>
      <c r="E6" s="86"/>
      <c r="F6" s="86"/>
      <c r="G6" s="86"/>
      <c r="H6" s="86"/>
      <c r="I6" s="86"/>
      <c r="J6" s="86"/>
      <c r="N6" s="43"/>
      <c r="O6" s="47"/>
    </row>
    <row r="7" spans="2:21" x14ac:dyDescent="0.25">
      <c r="N7" s="43"/>
      <c r="O7" s="47"/>
    </row>
    <row r="8" spans="2:21" ht="17.399999999999999" x14ac:dyDescent="0.3">
      <c r="B8" s="82" t="s">
        <v>5</v>
      </c>
      <c r="C8" s="82"/>
      <c r="D8" s="82"/>
      <c r="E8" s="82"/>
      <c r="F8" s="82"/>
      <c r="G8" s="82"/>
      <c r="H8" s="82"/>
      <c r="I8" s="82"/>
      <c r="J8" s="82"/>
      <c r="N8" s="43"/>
      <c r="O8" s="47"/>
    </row>
    <row r="9" spans="2:21" ht="15.6" x14ac:dyDescent="0.3">
      <c r="B9" s="88"/>
      <c r="C9" s="88"/>
      <c r="D9" s="88"/>
      <c r="E9" s="88"/>
      <c r="F9" s="88"/>
      <c r="G9" s="88"/>
      <c r="H9" s="88"/>
      <c r="I9" s="88"/>
      <c r="J9" s="88"/>
      <c r="N9" s="43"/>
      <c r="O9" s="47"/>
    </row>
    <row r="10" spans="2:21" s="6" customFormat="1" ht="15.6" x14ac:dyDescent="0.3">
      <c r="B10" s="3" t="s">
        <v>6</v>
      </c>
      <c r="C10" s="4" t="s">
        <v>26</v>
      </c>
      <c r="D10" s="5"/>
      <c r="E10" s="5"/>
      <c r="F10" s="5"/>
      <c r="G10" s="89" t="s">
        <v>35</v>
      </c>
      <c r="H10" s="89"/>
      <c r="I10" s="89"/>
      <c r="J10" s="89"/>
      <c r="L10" s="39"/>
      <c r="M10" s="37"/>
      <c r="N10" s="43"/>
      <c r="O10" s="47"/>
      <c r="S10" s="71"/>
      <c r="T10" s="71"/>
      <c r="U10" s="71"/>
    </row>
    <row r="11" spans="2:21" s="6" customFormat="1" ht="29.4" thickBot="1" x14ac:dyDescent="0.3">
      <c r="L11" s="40" t="s">
        <v>29</v>
      </c>
      <c r="M11" s="35" t="s">
        <v>30</v>
      </c>
      <c r="N11" s="44" t="s">
        <v>28</v>
      </c>
      <c r="O11" s="48"/>
      <c r="P11" s="63" t="s">
        <v>32</v>
      </c>
      <c r="Q11" s="63" t="s">
        <v>33</v>
      </c>
      <c r="S11" s="71"/>
      <c r="T11" s="71"/>
      <c r="U11" s="71"/>
    </row>
    <row r="12" spans="2:21" s="6" customFormat="1" ht="15.6" x14ac:dyDescent="0.3">
      <c r="B12" s="90" t="s">
        <v>64</v>
      </c>
      <c r="C12" s="91"/>
      <c r="D12" s="91"/>
      <c r="E12" s="91"/>
      <c r="F12" s="92"/>
      <c r="G12" s="7" t="s">
        <v>7</v>
      </c>
      <c r="H12" s="8" t="s">
        <v>8</v>
      </c>
      <c r="I12" s="93" t="s">
        <v>66</v>
      </c>
      <c r="J12" s="94"/>
      <c r="L12" s="39"/>
      <c r="M12" s="37"/>
      <c r="N12" s="43"/>
      <c r="O12" s="47"/>
      <c r="S12" s="71"/>
      <c r="T12" s="71"/>
      <c r="U12" s="71"/>
    </row>
    <row r="13" spans="2:21" s="6" customFormat="1" ht="15.6" x14ac:dyDescent="0.3">
      <c r="B13" s="95" t="s">
        <v>65</v>
      </c>
      <c r="C13" s="96"/>
      <c r="D13" s="96"/>
      <c r="E13" s="96"/>
      <c r="F13" s="97"/>
      <c r="G13" s="33" t="s">
        <v>9</v>
      </c>
      <c r="H13" s="34" t="s">
        <v>8</v>
      </c>
      <c r="I13" s="98" t="s">
        <v>36</v>
      </c>
      <c r="J13" s="99"/>
      <c r="L13" s="39"/>
      <c r="M13" s="37"/>
      <c r="N13" s="43"/>
      <c r="O13" s="47"/>
      <c r="S13" s="71"/>
      <c r="T13" s="71"/>
      <c r="U13" s="71"/>
    </row>
    <row r="14" spans="2:21" s="6" customFormat="1" ht="33" customHeight="1" x14ac:dyDescent="0.3">
      <c r="B14" s="95" t="s">
        <v>63</v>
      </c>
      <c r="C14" s="96"/>
      <c r="D14" s="96"/>
      <c r="E14" s="96"/>
      <c r="F14" s="97"/>
      <c r="G14" s="29" t="s">
        <v>31</v>
      </c>
      <c r="H14" s="30" t="s">
        <v>8</v>
      </c>
      <c r="I14" s="100" t="s">
        <v>61</v>
      </c>
      <c r="J14" s="101"/>
      <c r="L14" s="41"/>
      <c r="M14" s="37"/>
      <c r="N14" s="43"/>
      <c r="O14" s="47"/>
      <c r="S14" s="71"/>
      <c r="T14" s="71"/>
      <c r="U14" s="71"/>
    </row>
    <row r="15" spans="2:21" s="6" customFormat="1" ht="15.6" thickBot="1" x14ac:dyDescent="0.3">
      <c r="B15" s="102" t="s">
        <v>10</v>
      </c>
      <c r="C15" s="103"/>
      <c r="D15" s="103"/>
      <c r="E15" s="103"/>
      <c r="F15" s="104"/>
      <c r="G15" s="31" t="s">
        <v>9</v>
      </c>
      <c r="H15" s="32" t="s">
        <v>8</v>
      </c>
      <c r="I15" s="105" t="s">
        <v>62</v>
      </c>
      <c r="J15" s="106"/>
      <c r="L15" s="39"/>
      <c r="M15" s="37"/>
      <c r="N15" s="43"/>
      <c r="O15" s="47"/>
      <c r="S15" s="71"/>
      <c r="T15" s="71"/>
      <c r="U15" s="71"/>
    </row>
    <row r="16" spans="2:21" s="6" customFormat="1" ht="13.8" x14ac:dyDescent="0.25">
      <c r="B16" s="107" t="s">
        <v>11</v>
      </c>
      <c r="C16" s="109" t="s">
        <v>12</v>
      </c>
      <c r="D16" s="109"/>
      <c r="E16" s="109"/>
      <c r="F16" s="110"/>
      <c r="G16" s="113" t="s">
        <v>13</v>
      </c>
      <c r="H16" s="109"/>
      <c r="I16" s="110"/>
      <c r="J16" s="115" t="s">
        <v>14</v>
      </c>
      <c r="L16" s="39"/>
      <c r="M16" s="37"/>
      <c r="N16" s="45"/>
      <c r="O16" s="45"/>
      <c r="S16" s="71"/>
      <c r="T16" s="71"/>
      <c r="U16" s="71"/>
    </row>
    <row r="17" spans="2:23" s="6" customFormat="1" ht="14.4" thickBot="1" x14ac:dyDescent="0.3">
      <c r="B17" s="108"/>
      <c r="C17" s="111"/>
      <c r="D17" s="111"/>
      <c r="E17" s="111"/>
      <c r="F17" s="112"/>
      <c r="G17" s="114"/>
      <c r="H17" s="111"/>
      <c r="I17" s="112"/>
      <c r="J17" s="116"/>
      <c r="L17" s="39"/>
      <c r="M17" s="37"/>
      <c r="N17" s="45"/>
      <c r="O17" s="45"/>
      <c r="S17" s="71"/>
      <c r="T17" s="71" t="s">
        <v>46</v>
      </c>
      <c r="U17" s="71" t="s">
        <v>45</v>
      </c>
    </row>
    <row r="18" spans="2:23" ht="36" customHeight="1" x14ac:dyDescent="0.25">
      <c r="B18" s="66" t="s">
        <v>37</v>
      </c>
      <c r="C18" s="123" t="s">
        <v>38</v>
      </c>
      <c r="D18" s="124"/>
      <c r="E18" s="124"/>
      <c r="F18" s="124"/>
      <c r="G18" s="83" t="s">
        <v>39</v>
      </c>
      <c r="H18" s="83"/>
      <c r="I18" s="83"/>
      <c r="J18" s="57">
        <v>1</v>
      </c>
      <c r="K18" s="65"/>
      <c r="L18" s="60">
        <v>3499</v>
      </c>
      <c r="M18" s="79">
        <v>46052</v>
      </c>
      <c r="N18" s="51">
        <f>SUM(L18:L22)</f>
        <v>5905</v>
      </c>
      <c r="O18" s="64"/>
      <c r="P18" s="62"/>
      <c r="Q18" s="61"/>
      <c r="S18" s="70">
        <v>159</v>
      </c>
      <c r="T18" s="70">
        <v>159</v>
      </c>
      <c r="U18" s="70">
        <v>7.96</v>
      </c>
      <c r="V18" s="73">
        <f>SUM(T18-U18)</f>
        <v>151.04</v>
      </c>
      <c r="W18" s="73"/>
    </row>
    <row r="19" spans="2:23" ht="32.25" customHeight="1" x14ac:dyDescent="0.25">
      <c r="B19" s="67" t="s">
        <v>41</v>
      </c>
      <c r="C19" s="158" t="s">
        <v>40</v>
      </c>
      <c r="D19" s="159"/>
      <c r="E19" s="159"/>
      <c r="F19" s="160"/>
      <c r="G19" s="84" t="s">
        <v>39</v>
      </c>
      <c r="H19" s="84"/>
      <c r="I19" s="84"/>
      <c r="J19" s="58">
        <v>1</v>
      </c>
      <c r="K19" s="65"/>
      <c r="L19" s="60">
        <v>699</v>
      </c>
      <c r="M19" s="79">
        <v>46052</v>
      </c>
      <c r="O19" s="64"/>
      <c r="P19" s="62"/>
      <c r="Q19" s="61"/>
      <c r="S19" s="70">
        <v>549</v>
      </c>
      <c r="T19" s="70">
        <v>549</v>
      </c>
      <c r="U19" s="70">
        <v>27.45</v>
      </c>
      <c r="V19" s="73">
        <f>SUM(T19-U19)</f>
        <v>521.54999999999995</v>
      </c>
    </row>
    <row r="20" spans="2:23" ht="30" x14ac:dyDescent="0.25">
      <c r="B20" s="67" t="s">
        <v>56</v>
      </c>
      <c r="C20" s="117" t="s">
        <v>42</v>
      </c>
      <c r="D20" s="117"/>
      <c r="E20" s="117"/>
      <c r="F20" s="117"/>
      <c r="G20" s="84" t="s">
        <v>48</v>
      </c>
      <c r="H20" s="84"/>
      <c r="I20" s="84"/>
      <c r="J20" s="58">
        <v>1</v>
      </c>
      <c r="K20" s="65"/>
      <c r="L20" s="60">
        <v>159</v>
      </c>
      <c r="M20" s="79">
        <v>46052</v>
      </c>
      <c r="O20" s="64"/>
      <c r="P20" s="62"/>
      <c r="Q20" s="61"/>
      <c r="S20" s="70">
        <v>3499</v>
      </c>
      <c r="T20" s="70">
        <v>3499</v>
      </c>
      <c r="U20" s="70">
        <v>174.96</v>
      </c>
      <c r="V20" s="73">
        <f>SUM(T20-U20)</f>
        <v>3324.04</v>
      </c>
    </row>
    <row r="21" spans="2:23" ht="30" x14ac:dyDescent="0.25">
      <c r="B21" s="67" t="s">
        <v>55</v>
      </c>
      <c r="C21" s="117" t="s">
        <v>43</v>
      </c>
      <c r="D21" s="117"/>
      <c r="E21" s="117"/>
      <c r="F21" s="117"/>
      <c r="G21" s="84" t="s">
        <v>27</v>
      </c>
      <c r="H21" s="84"/>
      <c r="I21" s="84"/>
      <c r="J21" s="58">
        <v>8</v>
      </c>
      <c r="K21" s="65"/>
      <c r="L21" s="60">
        <v>549</v>
      </c>
      <c r="M21" s="79">
        <v>46052</v>
      </c>
      <c r="O21" s="64"/>
      <c r="P21" s="62"/>
      <c r="Q21" s="61"/>
      <c r="S21" s="70">
        <v>699</v>
      </c>
      <c r="T21" s="70">
        <v>699</v>
      </c>
      <c r="U21" s="70">
        <v>699</v>
      </c>
      <c r="V21" s="73">
        <f>SUM(T21-U21)</f>
        <v>0</v>
      </c>
    </row>
    <row r="22" spans="2:23" ht="30" x14ac:dyDescent="0.25">
      <c r="B22" s="67" t="s">
        <v>57</v>
      </c>
      <c r="C22" s="117" t="s">
        <v>54</v>
      </c>
      <c r="D22" s="117"/>
      <c r="E22" s="117"/>
      <c r="F22" s="117"/>
      <c r="G22" s="84" t="s">
        <v>27</v>
      </c>
      <c r="H22" s="84"/>
      <c r="I22" s="84"/>
      <c r="J22" s="58">
        <v>6</v>
      </c>
      <c r="K22" s="65"/>
      <c r="L22" s="60">
        <v>999</v>
      </c>
      <c r="M22" s="79">
        <v>46052</v>
      </c>
      <c r="O22" s="64"/>
      <c r="P22" s="62"/>
      <c r="Q22" s="61"/>
      <c r="S22" s="70">
        <v>999</v>
      </c>
      <c r="T22" s="78">
        <v>999</v>
      </c>
      <c r="U22" s="78">
        <v>499.5</v>
      </c>
      <c r="V22" s="73">
        <f>SUM(T22-U22:U23)</f>
        <v>499.5</v>
      </c>
    </row>
    <row r="23" spans="2:23" ht="30" x14ac:dyDescent="0.25">
      <c r="B23" s="67" t="s">
        <v>58</v>
      </c>
      <c r="C23" s="158" t="s">
        <v>44</v>
      </c>
      <c r="D23" s="159"/>
      <c r="E23" s="159"/>
      <c r="F23" s="160"/>
      <c r="G23" s="120" t="s">
        <v>27</v>
      </c>
      <c r="H23" s="121"/>
      <c r="I23" s="122"/>
      <c r="J23" s="68">
        <v>6</v>
      </c>
      <c r="K23" s="65"/>
      <c r="L23" s="60">
        <v>999</v>
      </c>
      <c r="M23" s="79">
        <v>46052</v>
      </c>
      <c r="O23" s="64"/>
      <c r="P23" s="62"/>
      <c r="Q23" s="61"/>
      <c r="S23" s="70">
        <v>999</v>
      </c>
      <c r="T23" s="77">
        <v>999</v>
      </c>
      <c r="U23" s="78">
        <v>24.98</v>
      </c>
    </row>
    <row r="24" spans="2:23" ht="30" x14ac:dyDescent="0.25">
      <c r="B24" s="67" t="s">
        <v>41</v>
      </c>
      <c r="C24" s="158" t="s">
        <v>47</v>
      </c>
      <c r="D24" s="159"/>
      <c r="E24" s="159"/>
      <c r="F24" s="160"/>
      <c r="G24" s="120" t="s">
        <v>39</v>
      </c>
      <c r="H24" s="121"/>
      <c r="I24" s="122"/>
      <c r="J24" s="68">
        <v>1</v>
      </c>
      <c r="K24" s="65"/>
      <c r="L24" s="60">
        <v>1999</v>
      </c>
      <c r="M24" s="79">
        <v>46052</v>
      </c>
      <c r="O24" s="64"/>
      <c r="P24" s="62"/>
      <c r="Q24" s="61"/>
      <c r="S24" s="70">
        <v>1999</v>
      </c>
      <c r="T24" s="75">
        <v>1999</v>
      </c>
      <c r="U24" s="77">
        <v>499.5</v>
      </c>
      <c r="V24" s="73">
        <f>SUM(T23-U23:U24)</f>
        <v>499.5</v>
      </c>
    </row>
    <row r="25" spans="2:23" ht="30" x14ac:dyDescent="0.25">
      <c r="B25" s="67" t="s">
        <v>59</v>
      </c>
      <c r="C25" s="158" t="s">
        <v>49</v>
      </c>
      <c r="D25" s="159"/>
      <c r="E25" s="159"/>
      <c r="F25" s="160"/>
      <c r="G25" s="120" t="s">
        <v>27</v>
      </c>
      <c r="H25" s="121"/>
      <c r="I25" s="122"/>
      <c r="J25" s="68">
        <v>1</v>
      </c>
      <c r="K25" s="65"/>
      <c r="L25" s="60">
        <v>229</v>
      </c>
      <c r="M25" s="79">
        <v>46052</v>
      </c>
      <c r="O25" s="64"/>
      <c r="P25" s="62"/>
      <c r="Q25" s="61"/>
      <c r="S25" s="70">
        <v>229</v>
      </c>
      <c r="T25" s="74">
        <v>229</v>
      </c>
      <c r="U25" s="77">
        <v>24.98</v>
      </c>
    </row>
    <row r="26" spans="2:23" ht="30" x14ac:dyDescent="0.25">
      <c r="B26" s="67" t="s">
        <v>60</v>
      </c>
      <c r="C26" s="158" t="s">
        <v>50</v>
      </c>
      <c r="D26" s="159"/>
      <c r="E26" s="159"/>
      <c r="F26" s="160"/>
      <c r="G26" s="120" t="s">
        <v>34</v>
      </c>
      <c r="H26" s="121"/>
      <c r="I26" s="122"/>
      <c r="J26" s="68">
        <v>6</v>
      </c>
      <c r="K26" s="65"/>
      <c r="L26" s="80">
        <v>714</v>
      </c>
      <c r="M26" s="81">
        <v>46063</v>
      </c>
      <c r="O26" s="64"/>
      <c r="P26" s="62"/>
      <c r="Q26" s="61"/>
      <c r="S26" s="2"/>
      <c r="T26" s="2"/>
      <c r="U26" s="2"/>
    </row>
    <row r="27" spans="2:23" ht="19.8" thickBot="1" x14ac:dyDescent="0.3">
      <c r="B27" s="49"/>
      <c r="C27" s="118" t="s">
        <v>15</v>
      </c>
      <c r="D27" s="118"/>
      <c r="E27" s="118"/>
      <c r="F27" s="118"/>
      <c r="G27" s="119"/>
      <c r="H27" s="119"/>
      <c r="I27" s="119"/>
      <c r="J27" s="59"/>
      <c r="K27" s="9"/>
      <c r="M27" s="2"/>
      <c r="N27" s="46"/>
      <c r="O27" s="46"/>
      <c r="S27" s="72"/>
      <c r="T27" s="72"/>
      <c r="U27" s="76">
        <v>99.95</v>
      </c>
      <c r="V27" s="73">
        <f>SUM(T24-U27)</f>
        <v>1899.05</v>
      </c>
    </row>
    <row r="28" spans="2:23" ht="15.75" customHeight="1" x14ac:dyDescent="0.3">
      <c r="B28" s="134" t="s">
        <v>16</v>
      </c>
      <c r="C28" s="135"/>
      <c r="D28" s="135"/>
      <c r="E28" s="136"/>
      <c r="F28" s="137" t="s">
        <v>17</v>
      </c>
      <c r="G28" s="135"/>
      <c r="H28" s="135"/>
      <c r="I28" s="135"/>
      <c r="J28" s="138"/>
      <c r="N28" s="46"/>
      <c r="O28" s="46"/>
      <c r="S28" s="70">
        <f>SUM(S18:S27)</f>
        <v>9132</v>
      </c>
      <c r="T28" s="70">
        <f>SUM(T18:T25)</f>
        <v>9132</v>
      </c>
      <c r="U28" s="74">
        <v>11.45</v>
      </c>
      <c r="V28" s="73">
        <f>SUM(T25-U28)</f>
        <v>217.55</v>
      </c>
    </row>
    <row r="29" spans="2:23" ht="12.75" customHeight="1" x14ac:dyDescent="0.25">
      <c r="B29" s="139" t="s">
        <v>18</v>
      </c>
      <c r="C29" s="140"/>
      <c r="D29" s="140"/>
      <c r="E29" s="141"/>
      <c r="F29" s="145" t="s">
        <v>19</v>
      </c>
      <c r="G29" s="140"/>
      <c r="H29" s="140"/>
      <c r="I29" s="140"/>
      <c r="J29" s="146"/>
      <c r="N29" s="46"/>
      <c r="O29" s="46"/>
    </row>
    <row r="30" spans="2:23" ht="12.75" customHeight="1" x14ac:dyDescent="0.25">
      <c r="B30" s="142"/>
      <c r="C30" s="143"/>
      <c r="D30" s="143"/>
      <c r="E30" s="144"/>
      <c r="F30" s="147"/>
      <c r="G30" s="143"/>
      <c r="H30" s="143"/>
      <c r="I30" s="143"/>
      <c r="J30" s="148"/>
      <c r="N30" s="46"/>
      <c r="O30" s="46"/>
      <c r="V30" s="73">
        <f>SUM(V18:V28)</f>
        <v>7112.2300000000005</v>
      </c>
    </row>
    <row r="31" spans="2:23" ht="15" x14ac:dyDescent="0.25">
      <c r="B31" s="10" t="s">
        <v>20</v>
      </c>
      <c r="C31" s="11"/>
      <c r="D31" s="11"/>
      <c r="E31" s="12"/>
      <c r="F31" s="13" t="s">
        <v>21</v>
      </c>
      <c r="G31" s="11"/>
      <c r="H31" s="11"/>
      <c r="I31" s="11"/>
      <c r="J31" s="14"/>
      <c r="T31" s="70">
        <v>7062.29</v>
      </c>
      <c r="U31" s="70">
        <f>SUM(U18:U28)</f>
        <v>2069.7299999999996</v>
      </c>
    </row>
    <row r="32" spans="2:23" ht="15" x14ac:dyDescent="0.25">
      <c r="B32" s="10" t="s">
        <v>22</v>
      </c>
      <c r="C32" s="11"/>
      <c r="D32" s="11"/>
      <c r="E32" s="12"/>
      <c r="F32" s="13"/>
      <c r="G32" s="11"/>
      <c r="H32" s="11"/>
      <c r="I32" s="11"/>
      <c r="J32" s="14"/>
      <c r="V32" s="73">
        <f>SUM(T28-U31)</f>
        <v>7062.27</v>
      </c>
      <c r="W32" s="73">
        <f>SUM(V32)</f>
        <v>7062.27</v>
      </c>
    </row>
    <row r="33" spans="2:22" ht="15" x14ac:dyDescent="0.25">
      <c r="B33" s="10"/>
      <c r="C33" s="11"/>
      <c r="D33" s="11"/>
      <c r="E33" s="12"/>
      <c r="F33" s="149" t="s">
        <v>23</v>
      </c>
      <c r="G33" s="150"/>
      <c r="H33" s="150"/>
      <c r="I33" s="150"/>
      <c r="J33" s="151"/>
    </row>
    <row r="34" spans="2:22" ht="15" x14ac:dyDescent="0.25">
      <c r="B34" s="15"/>
      <c r="C34" s="1"/>
      <c r="D34" s="1"/>
      <c r="E34" s="16"/>
      <c r="F34" s="17"/>
      <c r="G34" s="18"/>
      <c r="H34" s="18"/>
      <c r="I34" s="18"/>
      <c r="J34" s="19"/>
    </row>
    <row r="35" spans="2:22" ht="15" x14ac:dyDescent="0.25">
      <c r="B35" s="15"/>
      <c r="C35" s="1"/>
      <c r="D35" s="1"/>
      <c r="E35" s="16"/>
      <c r="F35" s="20"/>
      <c r="G35" s="21"/>
      <c r="H35" s="21"/>
      <c r="I35" s="21"/>
      <c r="J35" s="22"/>
      <c r="V35" s="73">
        <f>SUM(V30-V32)</f>
        <v>49.960000000000036</v>
      </c>
    </row>
    <row r="36" spans="2:22" ht="15" x14ac:dyDescent="0.25">
      <c r="B36" s="23"/>
      <c r="C36" s="52"/>
      <c r="D36" s="52"/>
      <c r="E36" s="24"/>
      <c r="F36" s="54"/>
      <c r="G36" s="55"/>
      <c r="H36" s="55"/>
      <c r="I36" s="55"/>
      <c r="J36" s="56"/>
      <c r="S36" s="2"/>
      <c r="T36" s="2"/>
      <c r="U36" s="2"/>
    </row>
    <row r="37" spans="2:22" ht="15.6" x14ac:dyDescent="0.3">
      <c r="B37" s="152" t="s">
        <v>24</v>
      </c>
      <c r="C37" s="153"/>
      <c r="D37" s="153"/>
      <c r="E37" s="154"/>
      <c r="F37" s="155" t="s">
        <v>51</v>
      </c>
      <c r="G37" s="156"/>
      <c r="H37" s="156"/>
      <c r="I37" s="156"/>
      <c r="J37" s="157"/>
    </row>
    <row r="38" spans="2:22" ht="15" customHeight="1" x14ac:dyDescent="0.25">
      <c r="B38" s="125" t="s">
        <v>25</v>
      </c>
      <c r="C38" s="126"/>
      <c r="D38" s="126"/>
      <c r="E38" s="127"/>
      <c r="F38" s="131" t="s">
        <v>52</v>
      </c>
      <c r="G38" s="132"/>
      <c r="H38" s="132"/>
      <c r="I38" s="132"/>
      <c r="J38" s="133"/>
    </row>
    <row r="39" spans="2:22" ht="15" x14ac:dyDescent="0.25">
      <c r="B39" s="125"/>
      <c r="C39" s="126"/>
      <c r="D39" s="126"/>
      <c r="E39" s="127"/>
      <c r="F39" s="131" t="s">
        <v>53</v>
      </c>
      <c r="G39" s="132"/>
      <c r="H39" s="132"/>
      <c r="I39" s="132"/>
      <c r="J39" s="133"/>
    </row>
    <row r="40" spans="2:22" ht="12.75" customHeight="1" thickBot="1" x14ac:dyDescent="0.3">
      <c r="B40" s="128"/>
      <c r="C40" s="129"/>
      <c r="D40" s="129"/>
      <c r="E40" s="130"/>
      <c r="F40" s="25"/>
      <c r="G40" s="26"/>
      <c r="H40" s="26"/>
      <c r="I40" s="26"/>
      <c r="J40" s="27"/>
    </row>
    <row r="41" spans="2:22" x14ac:dyDescent="0.25">
      <c r="B41" s="28"/>
      <c r="C41" s="28"/>
      <c r="D41" s="28"/>
      <c r="E41" s="28"/>
    </row>
  </sheetData>
  <mergeCells count="50">
    <mergeCell ref="B8:J8"/>
    <mergeCell ref="G1:J1"/>
    <mergeCell ref="B3:J3"/>
    <mergeCell ref="B4:J4"/>
    <mergeCell ref="B5:J5"/>
    <mergeCell ref="B6:J6"/>
    <mergeCell ref="B9:J9"/>
    <mergeCell ref="G10:J10"/>
    <mergeCell ref="B12:F12"/>
    <mergeCell ref="I12:J12"/>
    <mergeCell ref="B13:F13"/>
    <mergeCell ref="I13:J13"/>
    <mergeCell ref="B14:F14"/>
    <mergeCell ref="I14:J14"/>
    <mergeCell ref="B15:F15"/>
    <mergeCell ref="I15:J15"/>
    <mergeCell ref="B16:B17"/>
    <mergeCell ref="C16:F17"/>
    <mergeCell ref="G16:I17"/>
    <mergeCell ref="J16:J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C26:F26"/>
    <mergeCell ref="G26:I26"/>
    <mergeCell ref="C27:F27"/>
    <mergeCell ref="G27:I27"/>
    <mergeCell ref="B28:E28"/>
    <mergeCell ref="F28:J28"/>
    <mergeCell ref="B29:E30"/>
    <mergeCell ref="F29:J30"/>
    <mergeCell ref="F33:J33"/>
    <mergeCell ref="B37:E37"/>
    <mergeCell ref="F37:J37"/>
    <mergeCell ref="B38:E40"/>
    <mergeCell ref="F38:J38"/>
    <mergeCell ref="F39:J39"/>
  </mergeCells>
  <pageMargins left="0.19685039370078741" right="0.19685039370078741" top="0.39370078740157483" bottom="0.94488188976377963" header="0.31496062992125984" footer="0.31496062992125984"/>
  <pageSetup paperSize="9" scale="84" fitToHeight="0" orientation="portrait" horizontalDpi="0" verticalDpi="0" r:id="rId1"/>
  <headerFooter>
    <oddFooter>&amp;L&amp;9Copy 1 - Property/Supply Unit
Copy 2 - Inspector/Inspection Committee 
Copy 3 - Accounting Division
Copy 4 - Property and/or Supply Division/Unit file&amp;CCopy 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ecapuyan2002@gmail.com</cp:lastModifiedBy>
  <cp:lastPrinted>2026-03-09T07:40:14Z</cp:lastPrinted>
  <dcterms:created xsi:type="dcterms:W3CDTF">2025-01-20T03:56:58Z</dcterms:created>
  <dcterms:modified xsi:type="dcterms:W3CDTF">2026-05-26T05:46:47Z</dcterms:modified>
</cp:coreProperties>
</file>